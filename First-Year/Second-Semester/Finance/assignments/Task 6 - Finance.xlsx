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oam Newman\Desktop\"/>
    </mc:Choice>
  </mc:AlternateContent>
  <xr:revisionPtr revIDLastSave="0" documentId="13_ncr:1_{E6C52F54-A454-42EF-B5FA-32F1780EC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1" l="1"/>
  <c r="C66" i="1"/>
  <c r="D65" i="1"/>
  <c r="C62" i="1"/>
  <c r="D61" i="1"/>
  <c r="C60" i="1"/>
  <c r="C59" i="1"/>
  <c r="D58" i="1"/>
  <c r="C57" i="1"/>
  <c r="D56" i="1"/>
  <c r="D53" i="1"/>
  <c r="D52" i="1"/>
  <c r="D67" i="1" s="1"/>
  <c r="C51" i="1"/>
  <c r="E32" i="1"/>
  <c r="C54" i="1" s="1"/>
  <c r="B33" i="1"/>
  <c r="B45" i="1"/>
  <c r="C63" i="1" s="1"/>
  <c r="F44" i="1"/>
  <c r="D64" i="1" s="1"/>
  <c r="H10" i="1"/>
  <c r="J62" i="1"/>
  <c r="H55" i="1"/>
  <c r="C33" i="1"/>
  <c r="B34" i="1" l="1"/>
  <c r="C50" i="1" s="1"/>
  <c r="C67" i="1" l="1"/>
  <c r="G59" i="1"/>
  <c r="G68" i="1" s="1"/>
  <c r="J68" i="1" s="1"/>
  <c r="J66" i="1" s="1"/>
  <c r="H73" i="1" s="1"/>
  <c r="H74" i="1" s="1"/>
</calcChain>
</file>

<file path=xl/sharedStrings.xml><?xml version="1.0" encoding="utf-8"?>
<sst xmlns="http://schemas.openxmlformats.org/spreadsheetml/2006/main" count="179" uniqueCount="75">
  <si>
    <t>נתונים שנת 2022</t>
  </si>
  <si>
    <t>פקודות יומן</t>
  </si>
  <si>
    <t>פרטים</t>
  </si>
  <si>
    <t>צד ימין</t>
  </si>
  <si>
    <t>צד שמאל</t>
  </si>
  <si>
    <t>החברה קנתה סחורה 350,000 שח, שולם בשיק דחוי 100,000 יתרה אשראי ספקים</t>
  </si>
  <si>
    <t>קניות</t>
  </si>
  <si>
    <t>שיקים לפרעון</t>
  </si>
  <si>
    <t>ספקים</t>
  </si>
  <si>
    <t xml:space="preserve"> החברה שלמה 60,000 לספקים על חשבון חוב בשיק</t>
  </si>
  <si>
    <t>עוש</t>
  </si>
  <si>
    <t>החברה מכרה סחורה 1,120,000 שח התקבל 180,000 שיק דחוי 200,000 אשראי לקוחות והיתרה העברה בנקאית</t>
  </si>
  <si>
    <t>שיקים לקבל</t>
  </si>
  <si>
    <t>מכירות</t>
  </si>
  <si>
    <t>לקוחות</t>
  </si>
  <si>
    <t>לקוח שילם 146,000 שח על חשבון חוב משנה קודמת בשיק דחוי</t>
  </si>
  <si>
    <t>החברה רכשה מחשב 5,000 בשיק</t>
  </si>
  <si>
    <t>מחשב</t>
  </si>
  <si>
    <t>החברה פרעה 10,000 שח עח הלוואה ועוד 2,000 שח הוצאות ריבית</t>
  </si>
  <si>
    <t>הוצאות ריבית</t>
  </si>
  <si>
    <t>הלוואה</t>
  </si>
  <si>
    <t>החברה שלמה הוצאות שכירות בשיק 30,000</t>
  </si>
  <si>
    <t>הוצאות שכירות</t>
  </si>
  <si>
    <t>החברה שלמה  שכר בשיק 96,000 שח</t>
  </si>
  <si>
    <t>הוצאות שכר</t>
  </si>
  <si>
    <t>החברה שלמה הוצאות ארנונה 40,000 שח בשיק</t>
  </si>
  <si>
    <t>הוצאות ארנונה</t>
  </si>
  <si>
    <t>החברה הפקידה שיק דחוי קיבלה שנה קודמת לבנק בסך 24,000 שח</t>
  </si>
  <si>
    <t>נדרש</t>
  </si>
  <si>
    <t>כרטיסי טי</t>
  </si>
  <si>
    <t>מאזן בוחן</t>
  </si>
  <si>
    <t>דוחות כספיים (מאזן ודוח רווהפ)</t>
  </si>
  <si>
    <t>הון מניות</t>
  </si>
  <si>
    <t>פרמיה</t>
  </si>
  <si>
    <t>יפ 1.1.22</t>
  </si>
  <si>
    <t>עודפים יפ</t>
  </si>
  <si>
    <t>יס 31.12.22</t>
  </si>
  <si>
    <t>מכונה</t>
  </si>
  <si>
    <t>מאזן בוחן 31.12.2022</t>
  </si>
  <si>
    <t>דוח רווח או הפסד 2022</t>
  </si>
  <si>
    <t>הוצ שכירות</t>
  </si>
  <si>
    <t>הוצ שכר</t>
  </si>
  <si>
    <t>הוצ ארנונה</t>
  </si>
  <si>
    <t>הוצ ריבית</t>
  </si>
  <si>
    <t>רווח נקי</t>
  </si>
  <si>
    <t>מאזן 31.12.2022</t>
  </si>
  <si>
    <t>נכסים</t>
  </si>
  <si>
    <t>התחייבויות</t>
  </si>
  <si>
    <t>הון עצמי</t>
  </si>
  <si>
    <t>עודפים 31.12.22</t>
  </si>
  <si>
    <t>דוח ייעוד רווחים לשנת 2022</t>
  </si>
  <si>
    <t>עודפים תחילת שנה 1.1.2022</t>
  </si>
  <si>
    <t>רווח השנה</t>
  </si>
  <si>
    <t>עודפים לסוף שנה 31.12.2022</t>
  </si>
  <si>
    <t>עודפים</t>
  </si>
  <si>
    <t>תרגיל 2</t>
  </si>
  <si>
    <t>1.2.04</t>
  </si>
  <si>
    <t>רכב</t>
  </si>
  <si>
    <t>2.2.04</t>
  </si>
  <si>
    <t>4.2.04</t>
  </si>
  <si>
    <t>5.2.04</t>
  </si>
  <si>
    <t>6.4.04</t>
  </si>
  <si>
    <t>7.5.04</t>
  </si>
  <si>
    <t>8.5.04</t>
  </si>
  <si>
    <t>9.6.04</t>
  </si>
  <si>
    <t>30.6.04</t>
  </si>
  <si>
    <t>10.9.04</t>
  </si>
  <si>
    <t>11.10.04</t>
  </si>
  <si>
    <t>30.10.04</t>
  </si>
  <si>
    <t>5.12.04</t>
  </si>
  <si>
    <t>30.12.04</t>
  </si>
  <si>
    <t>הוצאות חשמל</t>
  </si>
  <si>
    <t>31.12.04</t>
  </si>
  <si>
    <t>מלאי סגירה - רווח והפסד</t>
  </si>
  <si>
    <t>מלאי סגירה - מאזן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</si>
</sst>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u val="singleAccounting"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177"/>
      <scheme val="minor"/>
    </font>
    <font>
      <u val="singleAccounting"/>
      <sz val="9"/>
      <color theme="1"/>
      <name val="Calibri"/>
      <family val="2"/>
      <charset val="177"/>
      <scheme val="minor"/>
    </font>
    <font>
      <sz val="9"/>
      <color theme="1"/>
      <name val="Calibri"/>
      <family val="2"/>
      <charset val="177"/>
      <scheme val="minor"/>
    </font>
    <font>
      <u val="singleAccounting"/>
      <sz val="11"/>
      <color theme="1"/>
      <name val="Calibri"/>
      <family val="2"/>
      <charset val="177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165" fontId="0" fillId="0" borderId="1" xfId="1" applyNumberFormat="1" applyFont="1" applyBorder="1"/>
    <xf numFmtId="165" fontId="3" fillId="0" borderId="1" xfId="1" applyNumberFormat="1" applyFont="1" applyBorder="1"/>
    <xf numFmtId="165" fontId="0" fillId="0" borderId="0" xfId="1" applyNumberFormat="1" applyFont="1"/>
    <xf numFmtId="165" fontId="0" fillId="0" borderId="0" xfId="1" applyNumberFormat="1" applyFont="1" applyFill="1"/>
    <xf numFmtId="165" fontId="0" fillId="0" borderId="1" xfId="1" applyNumberFormat="1" applyFont="1" applyFill="1" applyBorder="1"/>
    <xf numFmtId="165" fontId="4" fillId="0" borderId="0" xfId="1" applyNumberFormat="1" applyFont="1"/>
    <xf numFmtId="165" fontId="3" fillId="0" borderId="0" xfId="1" applyNumberFormat="1" applyFont="1"/>
    <xf numFmtId="165" fontId="4" fillId="0" borderId="0" xfId="1" applyNumberFormat="1" applyFont="1" applyFill="1"/>
    <xf numFmtId="165" fontId="5" fillId="0" borderId="0" xfId="1" applyNumberFormat="1" applyFont="1"/>
    <xf numFmtId="165" fontId="0" fillId="0" borderId="0" xfId="1" applyNumberFormat="1" applyFont="1" applyFill="1" applyBorder="1"/>
    <xf numFmtId="165" fontId="3" fillId="0" borderId="0" xfId="1" applyNumberFormat="1" applyFont="1" applyFill="1"/>
    <xf numFmtId="165" fontId="6" fillId="0" borderId="0" xfId="1" applyNumberFormat="1" applyFont="1" applyFill="1" applyBorder="1" applyAlignment="1">
      <alignment horizontal="center"/>
    </xf>
    <xf numFmtId="165" fontId="7" fillId="0" borderId="0" xfId="1" applyNumberFormat="1" applyFont="1" applyBorder="1"/>
    <xf numFmtId="165" fontId="0" fillId="0" borderId="2" xfId="1" applyNumberFormat="1" applyFont="1" applyFill="1" applyBorder="1"/>
    <xf numFmtId="165" fontId="3" fillId="0" borderId="2" xfId="1" applyNumberFormat="1" applyFont="1" applyFill="1" applyBorder="1"/>
    <xf numFmtId="165" fontId="7" fillId="0" borderId="0" xfId="1" applyNumberFormat="1" applyFont="1"/>
    <xf numFmtId="165" fontId="7" fillId="0" borderId="0" xfId="1" applyNumberFormat="1" applyFont="1" applyFill="1" applyBorder="1"/>
    <xf numFmtId="165" fontId="3" fillId="0" borderId="0" xfId="1" applyNumberFormat="1" applyFont="1" applyFill="1" applyBorder="1"/>
    <xf numFmtId="165" fontId="8" fillId="0" borderId="0" xfId="1" applyNumberFormat="1" applyFont="1" applyFill="1" applyBorder="1"/>
    <xf numFmtId="165" fontId="9" fillId="0" borderId="0" xfId="1" applyNumberFormat="1" applyFont="1" applyBorder="1" applyAlignment="1">
      <alignment horizontal="center"/>
    </xf>
    <xf numFmtId="165" fontId="0" fillId="0" borderId="0" xfId="1" applyNumberFormat="1" applyFont="1" applyBorder="1"/>
    <xf numFmtId="165" fontId="7" fillId="0" borderId="1" xfId="1" applyNumberFormat="1" applyFont="1" applyFill="1" applyBorder="1"/>
    <xf numFmtId="165" fontId="3" fillId="0" borderId="1" xfId="1" applyNumberFormat="1" applyFont="1" applyFill="1" applyBorder="1"/>
    <xf numFmtId="165" fontId="10" fillId="0" borderId="0" xfId="1" applyNumberFormat="1" applyFont="1" applyFill="1" applyBorder="1"/>
    <xf numFmtId="165" fontId="5" fillId="0" borderId="0" xfId="1" applyNumberFormat="1" applyFont="1" applyFill="1" applyBorder="1"/>
    <xf numFmtId="165" fontId="10" fillId="0" borderId="0" xfId="1" applyNumberFormat="1" applyFont="1" applyBorder="1"/>
    <xf numFmtId="165" fontId="5" fillId="0" borderId="0" xfId="1" applyNumberFormat="1" applyFont="1" applyBorder="1"/>
    <xf numFmtId="165" fontId="0" fillId="0" borderId="3" xfId="1" applyNumberFormat="1" applyFont="1" applyFill="1" applyBorder="1"/>
    <xf numFmtId="165" fontId="3" fillId="0" borderId="3" xfId="1" applyNumberFormat="1" applyFont="1" applyFill="1" applyBorder="1"/>
    <xf numFmtId="165" fontId="8" fillId="0" borderId="2" xfId="1" applyNumberFormat="1" applyFont="1" applyFill="1" applyBorder="1"/>
    <xf numFmtId="165" fontId="8" fillId="0" borderId="1" xfId="1" applyNumberFormat="1" applyFont="1" applyFill="1" applyBorder="1"/>
    <xf numFmtId="165" fontId="1" fillId="0" borderId="0" xfId="1" applyNumberFormat="1" applyFont="1" applyFill="1"/>
    <xf numFmtId="165" fontId="11" fillId="0" borderId="0" xfId="1" applyNumberFormat="1" applyFont="1"/>
    <xf numFmtId="165" fontId="0" fillId="0" borderId="1" xfId="1" applyNumberFormat="1" applyFont="1" applyBorder="1" applyAlignment="1">
      <alignment horizontal="center"/>
    </xf>
    <xf numFmtId="165" fontId="12" fillId="0" borderId="0" xfId="1" applyNumberFormat="1" applyFont="1" applyAlignment="1">
      <alignment horizontal="left"/>
    </xf>
    <xf numFmtId="165" fontId="12" fillId="0" borderId="0" xfId="1" applyNumberFormat="1" applyFont="1"/>
    <xf numFmtId="165" fontId="3" fillId="0" borderId="4" xfId="1" applyNumberFormat="1" applyFont="1" applyBorder="1"/>
    <xf numFmtId="165" fontId="13" fillId="0" borderId="4" xfId="1" applyNumberFormat="1" applyFont="1" applyBorder="1"/>
    <xf numFmtId="165" fontId="12" fillId="0" borderId="0" xfId="1" applyNumberFormat="1" applyFont="1" applyAlignment="1">
      <alignment horizontal="right"/>
    </xf>
    <xf numFmtId="165" fontId="0" fillId="0" borderId="0" xfId="1" applyNumberFormat="1" applyFont="1" applyAlignment="1"/>
    <xf numFmtId="165" fontId="0" fillId="0" borderId="5" xfId="1" applyNumberFormat="1" applyFont="1" applyBorder="1" applyAlignment="1"/>
    <xf numFmtId="165" fontId="0" fillId="0" borderId="1" xfId="1" applyNumberFormat="1" applyFont="1" applyBorder="1" applyAlignment="1"/>
    <xf numFmtId="165" fontId="0" fillId="0" borderId="6" xfId="1" applyNumberFormat="1" applyFont="1" applyBorder="1" applyAlignment="1"/>
    <xf numFmtId="165" fontId="8" fillId="0" borderId="0" xfId="1" applyNumberFormat="1" applyFont="1" applyAlignment="1">
      <alignment horizontal="left"/>
    </xf>
    <xf numFmtId="165" fontId="0" fillId="0" borderId="3" xfId="1" applyNumberFormat="1" applyFont="1" applyBorder="1" applyAlignment="1"/>
    <xf numFmtId="165" fontId="0" fillId="0" borderId="7" xfId="1" applyNumberFormat="1" applyFont="1" applyBorder="1" applyAlignment="1"/>
    <xf numFmtId="165" fontId="0" fillId="0" borderId="0" xfId="1" applyNumberFormat="1" applyFont="1" applyBorder="1" applyAlignment="1">
      <alignment horizontal="center"/>
    </xf>
    <xf numFmtId="165" fontId="3" fillId="0" borderId="0" xfId="1" applyNumberFormat="1" applyFont="1" applyBorder="1"/>
    <xf numFmtId="165" fontId="0" fillId="0" borderId="0" xfId="1" applyNumberFormat="1" applyFont="1" applyBorder="1" applyAlignment="1"/>
    <xf numFmtId="165" fontId="11" fillId="0" borderId="0" xfId="1" applyNumberFormat="1" applyFont="1" applyAlignment="1"/>
    <xf numFmtId="165" fontId="0" fillId="0" borderId="0" xfId="1" applyNumberFormat="1" applyFont="1" applyFill="1" applyAlignment="1"/>
    <xf numFmtId="165" fontId="0" fillId="2" borderId="0" xfId="1" applyNumberFormat="1" applyFont="1" applyFill="1" applyAlignment="1"/>
    <xf numFmtId="165" fontId="0" fillId="3" borderId="0" xfId="1" applyNumberFormat="1" applyFont="1" applyFill="1" applyAlignment="1"/>
    <xf numFmtId="165" fontId="0" fillId="0" borderId="3" xfId="1" applyNumberFormat="1" applyFont="1" applyFill="1" applyBorder="1" applyAlignment="1"/>
    <xf numFmtId="165" fontId="0" fillId="0" borderId="1" xfId="1" applyNumberFormat="1" applyFont="1" applyFill="1" applyBorder="1" applyAlignment="1">
      <alignment horizontal="center"/>
    </xf>
    <xf numFmtId="165" fontId="0" fillId="0" borderId="1" xfId="1" applyNumberFormat="1" applyFont="1" applyFill="1" applyBorder="1" applyAlignment="1"/>
    <xf numFmtId="165" fontId="0" fillId="0" borderId="0" xfId="1" applyNumberFormat="1" applyFont="1" applyFill="1" applyBorder="1" applyAlignment="1"/>
    <xf numFmtId="165" fontId="0" fillId="2" borderId="0" xfId="1" applyNumberFormat="1" applyFont="1" applyFill="1" applyBorder="1" applyAlignment="1"/>
    <xf numFmtId="165" fontId="12" fillId="0" borderId="0" xfId="1" applyNumberFormat="1" applyFont="1" applyFill="1" applyBorder="1" applyAlignment="1"/>
    <xf numFmtId="165" fontId="13" fillId="0" borderId="0" xfId="1" applyNumberFormat="1" applyFont="1" applyFill="1" applyBorder="1" applyAlignment="1"/>
    <xf numFmtId="165" fontId="8" fillId="0" borderId="0" xfId="1" applyNumberFormat="1" applyFont="1" applyFill="1" applyBorder="1" applyAlignment="1"/>
    <xf numFmtId="165" fontId="12" fillId="0" borderId="3" xfId="1" applyNumberFormat="1" applyFont="1" applyFill="1" applyBorder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373380</xdr:colOff>
      <xdr:row>18</xdr:row>
      <xdr:rowOff>83820</xdr:rowOff>
    </xdr:from>
    <xdr:to>
      <xdr:col>17</xdr:col>
      <xdr:colOff>314511</xdr:colOff>
      <xdr:row>27</xdr:row>
      <xdr:rowOff>98367</xdr:rowOff>
    </xdr:to>
    <xdr:pic>
      <xdr:nvPicPr>
        <xdr:cNvPr id="2" name="תמונה 17">
          <a:extLst>
            <a:ext uri="{FF2B5EF4-FFF2-40B4-BE49-F238E27FC236}">
              <a16:creationId xmlns:a16="http://schemas.microsoft.com/office/drawing/2014/main" id="{592AE4E5-BC7C-4618-B635-1D611B4D4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7008689" y="3429000"/>
          <a:ext cx="2379531" cy="1683327"/>
        </a:xfrm>
        <a:prstGeom prst="rect">
          <a:avLst/>
        </a:prstGeom>
      </xdr:spPr>
    </xdr:pic>
    <xdr:clientData/>
  </xdr:twoCellAnchor>
  <xdr:twoCellAnchor editAs="oneCell">
    <xdr:from>
      <xdr:col>12</xdr:col>
      <xdr:colOff>558351</xdr:colOff>
      <xdr:row>29</xdr:row>
      <xdr:rowOff>114301</xdr:rowOff>
    </xdr:from>
    <xdr:to>
      <xdr:col>16</xdr:col>
      <xdr:colOff>123890</xdr:colOff>
      <xdr:row>40</xdr:row>
      <xdr:rowOff>15241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221382-3B89-7015-06F6-64438E7F3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7808910" y="5494021"/>
          <a:ext cx="2003939" cy="1912620"/>
        </a:xfrm>
        <a:prstGeom prst="rect">
          <a:avLst/>
        </a:prstGeom>
      </xdr:spPr>
    </xdr:pic>
    <xdr:clientData/>
  </xdr:twoCellAnchor>
  <xdr:twoCellAnchor editAs="oneCell">
    <xdr:from>
      <xdr:col>7</xdr:col>
      <xdr:colOff>198120</xdr:colOff>
      <xdr:row>76</xdr:row>
      <xdr:rowOff>73560</xdr:rowOff>
    </xdr:from>
    <xdr:to>
      <xdr:col>13</xdr:col>
      <xdr:colOff>165805</xdr:colOff>
      <xdr:row>100</xdr:row>
      <xdr:rowOff>1314</xdr:rowOff>
    </xdr:to>
    <xdr:pic>
      <xdr:nvPicPr>
        <xdr:cNvPr id="4" name="תמונה 6">
          <a:extLst>
            <a:ext uri="{FF2B5EF4-FFF2-40B4-BE49-F238E27FC236}">
              <a16:creationId xmlns:a16="http://schemas.microsoft.com/office/drawing/2014/main" id="{EB009604-2574-406E-9F52-4C73CC534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9595795" y="14071500"/>
          <a:ext cx="4196785" cy="4316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0"/>
  <sheetViews>
    <sheetView rightToLeft="1" tabSelected="1" workbookViewId="0">
      <selection activeCell="F83" sqref="F83"/>
    </sheetView>
  </sheetViews>
  <sheetFormatPr defaultRowHeight="14.4" x14ac:dyDescent="0.3"/>
  <cols>
    <col min="2" max="3" width="9.77734375" bestFit="1" customWidth="1"/>
    <col min="4" max="4" width="16.77734375" customWidth="1"/>
    <col min="6" max="6" width="38.21875" customWidth="1"/>
    <col min="7" max="7" width="9.77734375" bestFit="1" customWidth="1"/>
    <col min="8" max="8" width="10.44140625" bestFit="1" customWidth="1"/>
    <col min="9" max="9" width="14.5546875" customWidth="1"/>
    <col min="10" max="10" width="10" bestFit="1" customWidth="1"/>
  </cols>
  <sheetData>
    <row r="2" spans="1:13" x14ac:dyDescent="0.3">
      <c r="A2" s="1" t="s">
        <v>0</v>
      </c>
      <c r="B2" s="2"/>
      <c r="C2" s="1"/>
      <c r="D2" s="3"/>
      <c r="E2" s="3"/>
      <c r="F2" s="4"/>
      <c r="G2" s="4"/>
      <c r="H2" s="4"/>
      <c r="I2" s="4"/>
      <c r="J2" s="4"/>
      <c r="K2" s="3"/>
      <c r="L2" s="3"/>
      <c r="M2" s="3"/>
    </row>
    <row r="3" spans="1:13" x14ac:dyDescent="0.3">
      <c r="A3" s="1" t="s">
        <v>1</v>
      </c>
      <c r="B3" s="1"/>
      <c r="C3" s="2"/>
      <c r="D3" s="1"/>
      <c r="E3" s="1"/>
      <c r="F3" s="5"/>
      <c r="G3" s="4"/>
      <c r="H3" s="4"/>
      <c r="I3" s="4"/>
      <c r="J3" s="4"/>
      <c r="K3" s="3"/>
      <c r="L3" s="3"/>
      <c r="M3" s="3"/>
    </row>
    <row r="4" spans="1:13" ht="16.2" x14ac:dyDescent="0.45">
      <c r="A4" s="6" t="s">
        <v>2</v>
      </c>
      <c r="B4" s="3"/>
      <c r="C4" s="7"/>
      <c r="D4" s="3"/>
      <c r="E4" s="3"/>
      <c r="F4" s="4"/>
      <c r="G4" s="8" t="s">
        <v>3</v>
      </c>
      <c r="H4" s="8"/>
      <c r="I4" s="8" t="s">
        <v>4</v>
      </c>
      <c r="J4" s="3"/>
      <c r="K4" s="9"/>
      <c r="L4" s="9"/>
      <c r="M4" s="3"/>
    </row>
    <row r="5" spans="1:13" ht="15.6" x14ac:dyDescent="0.4">
      <c r="A5" s="10">
        <v>1</v>
      </c>
      <c r="B5" s="4" t="s">
        <v>5</v>
      </c>
      <c r="C5" s="11"/>
      <c r="D5" s="4"/>
      <c r="E5" s="4"/>
      <c r="F5" s="4"/>
      <c r="G5" s="10" t="s">
        <v>6</v>
      </c>
      <c r="H5" s="10">
        <v>350000</v>
      </c>
      <c r="I5" s="10" t="s">
        <v>7</v>
      </c>
      <c r="J5" s="4">
        <v>100000</v>
      </c>
      <c r="K5" s="12"/>
      <c r="L5" s="12"/>
      <c r="M5" s="4"/>
    </row>
    <row r="6" spans="1:13" x14ac:dyDescent="0.3">
      <c r="A6" s="1"/>
      <c r="B6" s="1"/>
      <c r="C6" s="2"/>
      <c r="D6" s="1"/>
      <c r="E6" s="1"/>
      <c r="F6" s="5"/>
      <c r="G6" s="5"/>
      <c r="H6" s="5"/>
      <c r="I6" s="5" t="s">
        <v>8</v>
      </c>
      <c r="J6" s="5">
        <v>250000</v>
      </c>
      <c r="K6" s="13"/>
      <c r="L6" s="13"/>
      <c r="M6" s="3"/>
    </row>
    <row r="7" spans="1:13" x14ac:dyDescent="0.3">
      <c r="A7" s="14">
        <v>2</v>
      </c>
      <c r="B7" s="14" t="s">
        <v>9</v>
      </c>
      <c r="C7" s="15"/>
      <c r="D7" s="14"/>
      <c r="E7" s="14"/>
      <c r="F7" s="14"/>
      <c r="G7" s="15" t="s">
        <v>8</v>
      </c>
      <c r="H7" s="14">
        <v>60000</v>
      </c>
      <c r="I7" s="14" t="s">
        <v>10</v>
      </c>
      <c r="J7" s="14">
        <v>60000</v>
      </c>
      <c r="K7" s="16"/>
      <c r="L7" s="16"/>
      <c r="M7" s="3"/>
    </row>
    <row r="8" spans="1:13" x14ac:dyDescent="0.3">
      <c r="A8" s="10">
        <v>3</v>
      </c>
      <c r="B8" s="17" t="s">
        <v>11</v>
      </c>
      <c r="C8" s="17"/>
      <c r="D8" s="17"/>
      <c r="E8" s="17"/>
      <c r="F8" s="17"/>
      <c r="G8" s="18" t="s">
        <v>12</v>
      </c>
      <c r="H8" s="10">
        <v>180000</v>
      </c>
      <c r="I8" s="10" t="s">
        <v>13</v>
      </c>
      <c r="J8" s="19">
        <v>1120000</v>
      </c>
      <c r="K8" s="3"/>
      <c r="L8" s="3"/>
      <c r="M8" s="3"/>
    </row>
    <row r="9" spans="1:13" ht="15.6" x14ac:dyDescent="0.4">
      <c r="A9" s="10"/>
      <c r="B9" s="17"/>
      <c r="C9" s="17"/>
      <c r="D9" s="17"/>
      <c r="E9" s="17"/>
      <c r="F9" s="17"/>
      <c r="G9" s="18" t="s">
        <v>14</v>
      </c>
      <c r="H9" s="10">
        <v>200000</v>
      </c>
      <c r="I9" s="10"/>
      <c r="J9" s="10"/>
      <c r="K9" s="20"/>
      <c r="L9" s="20"/>
      <c r="M9" s="21"/>
    </row>
    <row r="10" spans="1:13" x14ac:dyDescent="0.3">
      <c r="A10" s="5"/>
      <c r="B10" s="22"/>
      <c r="C10" s="22"/>
      <c r="D10" s="22"/>
      <c r="E10" s="22"/>
      <c r="F10" s="22"/>
      <c r="G10" s="23" t="s">
        <v>10</v>
      </c>
      <c r="H10" s="5">
        <f>-H9-H8+J8</f>
        <v>740000</v>
      </c>
      <c r="I10" s="5"/>
      <c r="J10" s="5"/>
      <c r="K10" s="24"/>
      <c r="L10" s="25"/>
      <c r="M10" s="21"/>
    </row>
    <row r="11" spans="1:13" x14ac:dyDescent="0.3">
      <c r="A11" s="14">
        <v>4</v>
      </c>
      <c r="B11" s="14" t="s">
        <v>15</v>
      </c>
      <c r="C11" s="15"/>
      <c r="D11" s="14"/>
      <c r="E11" s="14"/>
      <c r="F11" s="14"/>
      <c r="G11" s="15" t="s">
        <v>12</v>
      </c>
      <c r="H11" s="14">
        <v>146000</v>
      </c>
      <c r="I11" s="14" t="s">
        <v>14</v>
      </c>
      <c r="J11" s="14">
        <v>146000</v>
      </c>
      <c r="K11" s="26"/>
      <c r="L11" s="27"/>
      <c r="M11" s="10"/>
    </row>
    <row r="12" spans="1:13" x14ac:dyDescent="0.3">
      <c r="A12" s="14">
        <v>5</v>
      </c>
      <c r="B12" s="14" t="s">
        <v>16</v>
      </c>
      <c r="C12" s="15"/>
      <c r="D12" s="14"/>
      <c r="E12" s="14"/>
      <c r="F12" s="14"/>
      <c r="G12" s="15" t="s">
        <v>17</v>
      </c>
      <c r="H12" s="14">
        <v>5000</v>
      </c>
      <c r="I12" s="14" t="s">
        <v>10</v>
      </c>
      <c r="J12" s="14">
        <v>5000</v>
      </c>
      <c r="K12" s="10"/>
      <c r="L12" s="10"/>
      <c r="M12" s="21"/>
    </row>
    <row r="13" spans="1:13" x14ac:dyDescent="0.3">
      <c r="A13" s="28">
        <v>6</v>
      </c>
      <c r="B13" s="28" t="s">
        <v>18</v>
      </c>
      <c r="C13" s="29"/>
      <c r="D13" s="28"/>
      <c r="E13" s="28"/>
      <c r="F13" s="28"/>
      <c r="G13" s="29" t="s">
        <v>20</v>
      </c>
      <c r="H13" s="28">
        <v>10000</v>
      </c>
      <c r="I13" s="28" t="s">
        <v>10</v>
      </c>
      <c r="J13" s="28">
        <v>12000</v>
      </c>
      <c r="K13" s="26"/>
      <c r="L13" s="27"/>
      <c r="M13" s="21"/>
    </row>
    <row r="14" spans="1:13" x14ac:dyDescent="0.3">
      <c r="A14" s="5"/>
      <c r="B14" s="5"/>
      <c r="C14" s="23"/>
      <c r="D14" s="5"/>
      <c r="E14" s="5"/>
      <c r="F14" s="5"/>
      <c r="G14" s="23" t="s">
        <v>19</v>
      </c>
      <c r="H14" s="5">
        <v>2000</v>
      </c>
      <c r="I14" s="5"/>
      <c r="J14" s="5"/>
      <c r="K14" s="10"/>
      <c r="L14" s="10"/>
      <c r="M14" s="10"/>
    </row>
    <row r="15" spans="1:13" x14ac:dyDescent="0.3">
      <c r="A15" s="14">
        <v>7</v>
      </c>
      <c r="B15" s="14" t="s">
        <v>21</v>
      </c>
      <c r="C15" s="15"/>
      <c r="D15" s="14"/>
      <c r="E15" s="14"/>
      <c r="F15" s="14"/>
      <c r="G15" s="15" t="s">
        <v>22</v>
      </c>
      <c r="H15" s="14">
        <v>30000</v>
      </c>
      <c r="I15" s="14" t="s">
        <v>10</v>
      </c>
      <c r="J15" s="14">
        <v>30000</v>
      </c>
      <c r="K15" s="10"/>
      <c r="L15" s="10"/>
      <c r="M15" s="10"/>
    </row>
    <row r="16" spans="1:13" x14ac:dyDescent="0.3">
      <c r="A16" s="14">
        <v>8</v>
      </c>
      <c r="B16" s="14" t="s">
        <v>23</v>
      </c>
      <c r="C16" s="15"/>
      <c r="D16" s="14"/>
      <c r="E16" s="14"/>
      <c r="F16" s="14"/>
      <c r="G16" s="30" t="s">
        <v>41</v>
      </c>
      <c r="H16" s="14">
        <v>96000</v>
      </c>
      <c r="I16" s="14" t="s">
        <v>10</v>
      </c>
      <c r="J16" s="14">
        <v>96000</v>
      </c>
      <c r="K16" s="10"/>
      <c r="L16" s="10"/>
      <c r="M16" s="10"/>
    </row>
    <row r="17" spans="1:13" x14ac:dyDescent="0.3">
      <c r="A17" s="5">
        <v>9</v>
      </c>
      <c r="B17" s="5" t="s">
        <v>25</v>
      </c>
      <c r="C17" s="23"/>
      <c r="D17" s="5"/>
      <c r="E17" s="5"/>
      <c r="F17" s="5"/>
      <c r="G17" s="31" t="s">
        <v>42</v>
      </c>
      <c r="H17" s="5">
        <v>40000</v>
      </c>
      <c r="I17" s="5" t="s">
        <v>10</v>
      </c>
      <c r="J17" s="5">
        <v>40000</v>
      </c>
      <c r="K17" s="10"/>
      <c r="L17" s="10"/>
      <c r="M17" s="10"/>
    </row>
    <row r="18" spans="1:13" x14ac:dyDescent="0.3">
      <c r="A18" s="32">
        <v>10</v>
      </c>
      <c r="B18" s="32" t="s">
        <v>27</v>
      </c>
      <c r="C18" s="11"/>
      <c r="D18" s="32"/>
      <c r="E18" s="32"/>
      <c r="F18" s="32"/>
      <c r="G18" s="32" t="s">
        <v>10</v>
      </c>
      <c r="H18" s="4">
        <v>24000</v>
      </c>
      <c r="I18" s="4" t="s">
        <v>12</v>
      </c>
      <c r="J18" s="4">
        <v>24000</v>
      </c>
      <c r="K18" s="10"/>
      <c r="L18" s="10"/>
      <c r="M18" s="10"/>
    </row>
    <row r="19" spans="1:13" x14ac:dyDescent="0.3">
      <c r="A19" s="3"/>
      <c r="B19" s="3"/>
      <c r="C19" s="7"/>
      <c r="D19" s="3"/>
      <c r="E19" s="3"/>
      <c r="F19" s="4"/>
      <c r="G19" s="4"/>
      <c r="H19" s="4"/>
      <c r="I19" s="4"/>
      <c r="J19" s="4"/>
      <c r="K19" s="21"/>
      <c r="L19" s="21"/>
      <c r="M19" s="21"/>
    </row>
    <row r="20" spans="1:13" ht="16.2" x14ac:dyDescent="0.45">
      <c r="A20" s="33" t="s">
        <v>28</v>
      </c>
      <c r="B20" s="3"/>
      <c r="C20" s="7"/>
      <c r="D20" s="3"/>
      <c r="E20" s="3"/>
      <c r="F20" s="4"/>
      <c r="G20" s="4"/>
      <c r="H20" s="4"/>
      <c r="I20" s="4"/>
      <c r="J20" s="4"/>
      <c r="K20" s="21"/>
      <c r="L20" s="21"/>
      <c r="M20" s="21"/>
    </row>
    <row r="21" spans="1:13" x14ac:dyDescent="0.3">
      <c r="A21" s="3" t="s">
        <v>1</v>
      </c>
      <c r="B21" s="3"/>
      <c r="C21" s="7"/>
      <c r="D21" s="3"/>
      <c r="E21" s="3"/>
      <c r="F21" s="4"/>
      <c r="G21" s="4"/>
      <c r="H21" s="4"/>
      <c r="I21" s="4"/>
      <c r="J21" s="4"/>
      <c r="K21" s="21"/>
      <c r="L21" s="21"/>
      <c r="M21" s="21"/>
    </row>
    <row r="22" spans="1:13" x14ac:dyDescent="0.3">
      <c r="A22" s="3" t="s">
        <v>29</v>
      </c>
      <c r="B22" s="3"/>
      <c r="C22" s="7"/>
      <c r="D22" s="3"/>
      <c r="E22" s="3"/>
      <c r="F22" s="4"/>
      <c r="G22" s="4"/>
      <c r="H22" s="4"/>
      <c r="I22" s="4"/>
      <c r="J22" s="4"/>
      <c r="K22" s="21"/>
      <c r="L22" s="21"/>
      <c r="M22" s="21"/>
    </row>
    <row r="23" spans="1:13" x14ac:dyDescent="0.3">
      <c r="A23" s="3" t="s">
        <v>30</v>
      </c>
      <c r="B23" s="3"/>
      <c r="C23" s="7"/>
      <c r="D23" s="3"/>
      <c r="E23" s="3"/>
      <c r="F23" s="4"/>
      <c r="G23" s="4"/>
      <c r="H23" s="4"/>
      <c r="I23" s="4"/>
      <c r="J23" s="4"/>
      <c r="K23" s="21"/>
      <c r="L23" s="21"/>
      <c r="M23" s="21"/>
    </row>
    <row r="24" spans="1:13" x14ac:dyDescent="0.3">
      <c r="A24" s="3" t="s">
        <v>31</v>
      </c>
      <c r="B24" s="3"/>
      <c r="C24" s="7"/>
      <c r="D24" s="3"/>
      <c r="E24" s="3"/>
      <c r="F24" s="4"/>
      <c r="G24" s="4"/>
      <c r="H24" s="4"/>
      <c r="I24" s="4"/>
      <c r="J24" s="4"/>
      <c r="K24" s="21"/>
      <c r="L24" s="21"/>
      <c r="M24" s="21"/>
    </row>
    <row r="25" spans="1:13" x14ac:dyDescent="0.3">
      <c r="A25" s="3"/>
      <c r="B25" s="3"/>
      <c r="C25" s="7"/>
      <c r="D25" s="3"/>
      <c r="E25" s="3"/>
      <c r="F25" s="4"/>
      <c r="G25" s="4"/>
      <c r="H25" s="4"/>
      <c r="I25" s="4"/>
      <c r="J25" s="4"/>
      <c r="K25" s="21"/>
      <c r="L25" s="21"/>
      <c r="M25" s="21"/>
    </row>
    <row r="26" spans="1:13" x14ac:dyDescent="0.3">
      <c r="A26" s="3"/>
      <c r="B26" s="34" t="s">
        <v>10</v>
      </c>
      <c r="C26" s="34"/>
      <c r="D26" s="3"/>
      <c r="E26" s="34" t="s">
        <v>6</v>
      </c>
      <c r="F26" s="34"/>
      <c r="G26" s="4"/>
      <c r="H26" s="34" t="s">
        <v>32</v>
      </c>
      <c r="I26" s="34"/>
      <c r="J26" s="4"/>
      <c r="K26" s="34" t="s">
        <v>33</v>
      </c>
      <c r="L26" s="34"/>
      <c r="M26" s="21"/>
    </row>
    <row r="27" spans="1:13" x14ac:dyDescent="0.3">
      <c r="A27" s="35" t="s">
        <v>34</v>
      </c>
      <c r="B27" s="36">
        <v>850000</v>
      </c>
      <c r="C27" s="37">
        <v>60000</v>
      </c>
      <c r="D27" s="3"/>
      <c r="E27" s="3">
        <v>350000</v>
      </c>
      <c r="F27" s="37"/>
      <c r="G27" s="4"/>
      <c r="H27" s="3"/>
      <c r="I27" s="38">
        <v>50000</v>
      </c>
      <c r="J27" s="39" t="s">
        <v>34</v>
      </c>
      <c r="K27" s="3"/>
      <c r="L27" s="38">
        <v>150000</v>
      </c>
      <c r="M27" s="39" t="s">
        <v>34</v>
      </c>
    </row>
    <row r="28" spans="1:13" x14ac:dyDescent="0.3">
      <c r="A28" s="40"/>
      <c r="B28" s="40">
        <v>740000</v>
      </c>
      <c r="C28" s="41">
        <v>5000</v>
      </c>
      <c r="D28" s="40"/>
      <c r="E28" s="40"/>
      <c r="F28" s="41"/>
      <c r="G28" s="40"/>
      <c r="H28" s="40"/>
      <c r="I28" s="41"/>
      <c r="J28" s="40"/>
      <c r="K28" s="40"/>
      <c r="L28" s="41"/>
      <c r="M28" s="40"/>
    </row>
    <row r="29" spans="1:13" x14ac:dyDescent="0.3">
      <c r="A29" s="40"/>
      <c r="B29" s="40">
        <v>24000</v>
      </c>
      <c r="C29" s="41">
        <v>12000</v>
      </c>
      <c r="D29" s="40"/>
      <c r="E29" s="34" t="s">
        <v>14</v>
      </c>
      <c r="F29" s="34"/>
      <c r="G29" s="40"/>
      <c r="H29" s="34" t="s">
        <v>17</v>
      </c>
      <c r="I29" s="34"/>
      <c r="J29" s="40"/>
      <c r="K29" s="34" t="s">
        <v>35</v>
      </c>
      <c r="L29" s="34"/>
      <c r="M29" s="40"/>
    </row>
    <row r="30" spans="1:13" x14ac:dyDescent="0.3">
      <c r="A30" s="40"/>
      <c r="B30" s="40"/>
      <c r="C30" s="41">
        <v>30000</v>
      </c>
      <c r="D30" s="35" t="s">
        <v>34</v>
      </c>
      <c r="E30" s="36">
        <v>20000</v>
      </c>
      <c r="F30" s="37">
        <v>146000</v>
      </c>
      <c r="G30" s="40"/>
      <c r="H30" s="3">
        <v>5000</v>
      </c>
      <c r="I30" s="37"/>
      <c r="J30" s="40"/>
      <c r="K30" s="3"/>
      <c r="L30" s="38">
        <v>662000</v>
      </c>
      <c r="M30" s="39" t="s">
        <v>34</v>
      </c>
    </row>
    <row r="31" spans="1:13" x14ac:dyDescent="0.3">
      <c r="A31" s="40"/>
      <c r="B31" s="40"/>
      <c r="C31" s="41">
        <v>96000</v>
      </c>
      <c r="D31" s="40"/>
      <c r="E31" s="40">
        <v>200000</v>
      </c>
      <c r="F31" s="41"/>
      <c r="G31" s="40"/>
      <c r="H31" s="40"/>
      <c r="I31" s="41"/>
      <c r="J31" s="40"/>
      <c r="K31" s="40"/>
      <c r="L31" s="41"/>
      <c r="M31" s="40"/>
    </row>
    <row r="32" spans="1:13" x14ac:dyDescent="0.3">
      <c r="A32" s="40"/>
      <c r="B32" s="42"/>
      <c r="C32" s="43">
        <v>40000</v>
      </c>
      <c r="D32" s="44" t="s">
        <v>36</v>
      </c>
      <c r="E32" s="45">
        <f>E31+E30-F30</f>
        <v>74000</v>
      </c>
      <c r="F32" s="40"/>
      <c r="G32" s="40"/>
      <c r="H32" s="40"/>
      <c r="I32" s="40"/>
      <c r="J32" s="40"/>
      <c r="K32" s="40"/>
      <c r="L32" s="40"/>
      <c r="M32" s="40"/>
    </row>
    <row r="33" spans="1:13" x14ac:dyDescent="0.3">
      <c r="A33" s="40"/>
      <c r="B33" s="40">
        <f>SUM(B27:B32)</f>
        <v>1614000</v>
      </c>
      <c r="C33" s="41">
        <f>SUM(C27:C32)</f>
        <v>243000</v>
      </c>
      <c r="D33" s="40"/>
      <c r="E33" s="34" t="s">
        <v>37</v>
      </c>
      <c r="F33" s="34"/>
      <c r="G33" s="40"/>
      <c r="H33" s="34" t="s">
        <v>7</v>
      </c>
      <c r="I33" s="34"/>
      <c r="J33" s="40"/>
      <c r="K33" s="34" t="s">
        <v>22</v>
      </c>
      <c r="L33" s="34"/>
      <c r="M33" s="40"/>
    </row>
    <row r="34" spans="1:13" x14ac:dyDescent="0.3">
      <c r="A34" s="40" t="s">
        <v>36</v>
      </c>
      <c r="B34" s="46">
        <f>B33-C33</f>
        <v>1371000</v>
      </c>
      <c r="C34" s="41"/>
      <c r="D34" s="35" t="s">
        <v>34</v>
      </c>
      <c r="E34" s="36">
        <v>62000</v>
      </c>
      <c r="F34" s="37"/>
      <c r="G34" s="40"/>
      <c r="H34" s="3"/>
      <c r="I34" s="37">
        <v>100000</v>
      </c>
      <c r="J34" s="40"/>
      <c r="K34" s="3">
        <v>30000</v>
      </c>
      <c r="L34" s="37"/>
      <c r="M34" s="40"/>
    </row>
    <row r="35" spans="1:13" x14ac:dyDescent="0.3">
      <c r="A35" s="40"/>
      <c r="B35" s="40"/>
      <c r="C35" s="41"/>
      <c r="D35" s="40"/>
      <c r="E35" s="40"/>
      <c r="F35" s="41"/>
      <c r="G35" s="40"/>
      <c r="H35" s="40"/>
      <c r="I35" s="41"/>
      <c r="J35" s="40"/>
      <c r="K35" s="40"/>
      <c r="L35" s="41"/>
      <c r="M35" s="40"/>
    </row>
    <row r="36" spans="1:13" x14ac:dyDescent="0.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</row>
    <row r="37" spans="1:13" x14ac:dyDescent="0.3">
      <c r="A37" s="40"/>
      <c r="B37" s="34" t="s">
        <v>19</v>
      </c>
      <c r="C37" s="34"/>
      <c r="D37" s="40"/>
      <c r="E37" s="34" t="s">
        <v>13</v>
      </c>
      <c r="F37" s="34"/>
      <c r="G37" s="40"/>
      <c r="H37" s="47"/>
      <c r="I37" s="47"/>
      <c r="J37" s="40"/>
      <c r="K37" s="34" t="s">
        <v>24</v>
      </c>
      <c r="L37" s="34"/>
      <c r="M37" s="40"/>
    </row>
    <row r="38" spans="1:13" x14ac:dyDescent="0.3">
      <c r="A38" s="40"/>
      <c r="B38" s="3">
        <v>2000</v>
      </c>
      <c r="C38" s="37"/>
      <c r="D38" s="40"/>
      <c r="E38" s="3"/>
      <c r="F38" s="37">
        <v>1120000</v>
      </c>
      <c r="G38" s="40"/>
      <c r="H38" s="21"/>
      <c r="I38" s="48"/>
      <c r="J38" s="40"/>
      <c r="K38" s="3">
        <v>96000</v>
      </c>
      <c r="L38" s="37"/>
      <c r="M38" s="40"/>
    </row>
    <row r="39" spans="1:13" x14ac:dyDescent="0.3">
      <c r="A39" s="40"/>
      <c r="B39" s="40"/>
      <c r="C39" s="41"/>
      <c r="D39" s="40"/>
      <c r="E39" s="40"/>
      <c r="F39" s="41"/>
      <c r="G39" s="40"/>
      <c r="H39" s="49"/>
      <c r="I39" s="49"/>
      <c r="J39" s="40"/>
      <c r="K39" s="40"/>
      <c r="L39" s="41"/>
      <c r="M39" s="40"/>
    </row>
    <row r="40" spans="1:13" x14ac:dyDescent="0.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</row>
    <row r="41" spans="1:13" x14ac:dyDescent="0.3">
      <c r="A41" s="40"/>
      <c r="B41" s="34" t="s">
        <v>12</v>
      </c>
      <c r="C41" s="34"/>
      <c r="D41" s="40"/>
      <c r="E41" s="34" t="s">
        <v>8</v>
      </c>
      <c r="F41" s="34"/>
      <c r="G41" s="40"/>
      <c r="H41" s="34" t="s">
        <v>20</v>
      </c>
      <c r="I41" s="34"/>
      <c r="J41" s="40"/>
      <c r="K41" s="34" t="s">
        <v>26</v>
      </c>
      <c r="L41" s="34"/>
      <c r="M41" s="40"/>
    </row>
    <row r="42" spans="1:13" x14ac:dyDescent="0.3">
      <c r="A42" s="35" t="s">
        <v>34</v>
      </c>
      <c r="B42" s="36">
        <v>200000</v>
      </c>
      <c r="C42" s="37">
        <v>24000</v>
      </c>
      <c r="D42" s="40"/>
      <c r="E42" s="3">
        <v>60000</v>
      </c>
      <c r="F42" s="38">
        <v>230000</v>
      </c>
      <c r="G42" s="39" t="s">
        <v>34</v>
      </c>
      <c r="H42" s="3">
        <v>10000</v>
      </c>
      <c r="I42" s="38">
        <v>40000</v>
      </c>
      <c r="J42" s="39" t="s">
        <v>34</v>
      </c>
      <c r="K42" s="3">
        <v>40000</v>
      </c>
      <c r="L42" s="37"/>
      <c r="M42" s="40"/>
    </row>
    <row r="43" spans="1:13" x14ac:dyDescent="0.3">
      <c r="A43" s="40"/>
      <c r="B43" s="40">
        <v>180000</v>
      </c>
      <c r="C43" s="41"/>
      <c r="D43" s="40"/>
      <c r="E43" s="40"/>
      <c r="F43" s="41">
        <v>250000</v>
      </c>
      <c r="G43" s="40"/>
      <c r="H43" s="40"/>
      <c r="I43" s="41"/>
      <c r="J43" s="40"/>
      <c r="K43" s="40"/>
      <c r="L43" s="41"/>
      <c r="M43" s="40"/>
    </row>
    <row r="44" spans="1:13" x14ac:dyDescent="0.3">
      <c r="A44" s="40"/>
      <c r="B44" s="40">
        <v>146000</v>
      </c>
      <c r="C44" s="41"/>
      <c r="D44" s="40"/>
      <c r="E44" s="45"/>
      <c r="F44" s="45">
        <f>F43+F42-E42</f>
        <v>420000</v>
      </c>
      <c r="G44" s="40" t="s">
        <v>36</v>
      </c>
      <c r="H44" s="40"/>
      <c r="I44" s="45">
        <v>30000</v>
      </c>
      <c r="J44" s="40" t="s">
        <v>36</v>
      </c>
      <c r="K44" s="40"/>
      <c r="L44" s="40"/>
      <c r="M44" s="40"/>
    </row>
    <row r="45" spans="1:13" x14ac:dyDescent="0.3">
      <c r="A45" s="40" t="s">
        <v>36</v>
      </c>
      <c r="B45" s="46">
        <f>B42+B43+B44-C42</f>
        <v>502000</v>
      </c>
      <c r="C45" s="41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3" x14ac:dyDescent="0.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  <row r="47" spans="1:13" x14ac:dyDescent="0.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</row>
    <row r="48" spans="1:13" x14ac:dyDescent="0.3">
      <c r="A48" s="40"/>
      <c r="B48" s="34" t="s">
        <v>38</v>
      </c>
      <c r="C48" s="34"/>
      <c r="D48" s="34"/>
      <c r="E48" s="40"/>
      <c r="F48" s="42" t="s">
        <v>39</v>
      </c>
      <c r="G48" s="42"/>
      <c r="H48" s="42"/>
      <c r="I48" s="40"/>
      <c r="J48" s="40"/>
      <c r="K48" s="40"/>
      <c r="L48" s="40"/>
      <c r="M48" s="40"/>
    </row>
    <row r="49" spans="1:13" ht="16.2" x14ac:dyDescent="0.45">
      <c r="A49" s="40"/>
      <c r="B49" s="50" t="s">
        <v>2</v>
      </c>
      <c r="C49" s="50" t="s">
        <v>3</v>
      </c>
      <c r="D49" s="50" t="s">
        <v>4</v>
      </c>
      <c r="E49" s="40"/>
      <c r="F49" s="40" t="s">
        <v>13</v>
      </c>
      <c r="G49" s="40"/>
      <c r="H49" s="40">
        <v>1120000</v>
      </c>
      <c r="I49" s="40"/>
      <c r="J49" s="40"/>
      <c r="K49" s="40"/>
      <c r="L49" s="40"/>
      <c r="M49" s="40"/>
    </row>
    <row r="50" spans="1:13" x14ac:dyDescent="0.3">
      <c r="A50" s="40"/>
      <c r="B50" s="51" t="s">
        <v>10</v>
      </c>
      <c r="C50" s="51">
        <f>B34</f>
        <v>1371000</v>
      </c>
      <c r="D50" s="51"/>
      <c r="E50" s="40"/>
      <c r="F50" s="40" t="s">
        <v>6</v>
      </c>
      <c r="G50" s="40"/>
      <c r="H50" s="40">
        <v>-350000</v>
      </c>
      <c r="I50" s="51"/>
      <c r="J50" s="40"/>
      <c r="K50" s="40"/>
      <c r="L50" s="40"/>
      <c r="M50" s="40"/>
    </row>
    <row r="51" spans="1:13" x14ac:dyDescent="0.3">
      <c r="A51" s="40"/>
      <c r="B51" s="52" t="s">
        <v>6</v>
      </c>
      <c r="C51" s="52">
        <f>E27</f>
        <v>350000</v>
      </c>
      <c r="D51" s="52"/>
      <c r="E51" s="40"/>
      <c r="F51" s="51" t="s">
        <v>22</v>
      </c>
      <c r="G51" s="51"/>
      <c r="H51" s="51">
        <v>-30000</v>
      </c>
      <c r="I51" s="51"/>
      <c r="J51" s="40"/>
      <c r="K51" s="40"/>
      <c r="L51" s="40"/>
      <c r="M51" s="40"/>
    </row>
    <row r="52" spans="1:13" x14ac:dyDescent="0.3">
      <c r="A52" s="51"/>
      <c r="B52" s="51" t="s">
        <v>32</v>
      </c>
      <c r="C52" s="51"/>
      <c r="D52" s="51">
        <f>I27</f>
        <v>50000</v>
      </c>
      <c r="E52" s="51"/>
      <c r="F52" s="51" t="s">
        <v>19</v>
      </c>
      <c r="G52" s="51"/>
      <c r="H52" s="51">
        <v>-2000</v>
      </c>
      <c r="I52" s="51"/>
      <c r="J52" s="40"/>
      <c r="K52" s="40"/>
      <c r="L52" s="40"/>
      <c r="M52" s="40"/>
    </row>
    <row r="53" spans="1:13" x14ac:dyDescent="0.3">
      <c r="A53" s="51"/>
      <c r="B53" s="51" t="s">
        <v>33</v>
      </c>
      <c r="C53" s="51"/>
      <c r="D53" s="51">
        <f>L27</f>
        <v>150000</v>
      </c>
      <c r="E53" s="51"/>
      <c r="F53" s="51" t="s">
        <v>24</v>
      </c>
      <c r="G53" s="51"/>
      <c r="H53" s="51">
        <v>-96000</v>
      </c>
      <c r="I53" s="51"/>
      <c r="J53" s="40"/>
      <c r="K53" s="40"/>
      <c r="L53" s="40"/>
      <c r="M53" s="40"/>
    </row>
    <row r="54" spans="1:13" x14ac:dyDescent="0.3">
      <c r="A54" s="51"/>
      <c r="B54" s="51" t="s">
        <v>14</v>
      </c>
      <c r="C54" s="51">
        <f>E32</f>
        <v>74000</v>
      </c>
      <c r="D54" s="51"/>
      <c r="E54" s="51"/>
      <c r="F54" s="51" t="s">
        <v>26</v>
      </c>
      <c r="G54" s="51"/>
      <c r="H54" s="51">
        <v>-40000</v>
      </c>
      <c r="I54" s="51"/>
      <c r="J54" s="40"/>
      <c r="K54" s="40"/>
      <c r="L54" s="40"/>
      <c r="M54" s="40"/>
    </row>
    <row r="55" spans="1:13" x14ac:dyDescent="0.3">
      <c r="A55" s="51"/>
      <c r="B55" s="51" t="s">
        <v>17</v>
      </c>
      <c r="C55" s="51">
        <v>5000</v>
      </c>
      <c r="D55" s="51"/>
      <c r="E55" s="51"/>
      <c r="F55" s="51" t="s">
        <v>44</v>
      </c>
      <c r="G55" s="51"/>
      <c r="H55" s="54">
        <f>SUM(H49:H54)</f>
        <v>602000</v>
      </c>
      <c r="I55" s="51"/>
      <c r="J55" s="40"/>
      <c r="K55" s="40"/>
      <c r="L55" s="40"/>
      <c r="M55" s="40"/>
    </row>
    <row r="56" spans="1:13" x14ac:dyDescent="0.3">
      <c r="A56" s="51"/>
      <c r="B56" s="53" t="s">
        <v>54</v>
      </c>
      <c r="C56" s="53"/>
      <c r="D56" s="53">
        <f>L30</f>
        <v>662000</v>
      </c>
      <c r="E56" s="51"/>
      <c r="F56" s="51"/>
      <c r="G56" s="51"/>
      <c r="H56" s="51"/>
      <c r="I56" s="51"/>
      <c r="J56" s="40"/>
      <c r="K56" s="40"/>
      <c r="L56" s="40"/>
      <c r="M56" s="40"/>
    </row>
    <row r="57" spans="1:13" x14ac:dyDescent="0.3">
      <c r="A57" s="51"/>
      <c r="B57" s="51" t="s">
        <v>37</v>
      </c>
      <c r="C57" s="51">
        <f>E34</f>
        <v>62000</v>
      </c>
      <c r="D57" s="51"/>
      <c r="E57" s="40"/>
      <c r="F57" s="55" t="s">
        <v>45</v>
      </c>
      <c r="G57" s="55"/>
      <c r="H57" s="55"/>
      <c r="I57" s="55"/>
      <c r="J57" s="55"/>
      <c r="K57" s="40"/>
      <c r="L57" s="40"/>
      <c r="M57" s="40"/>
    </row>
    <row r="58" spans="1:13" x14ac:dyDescent="0.3">
      <c r="A58" s="40"/>
      <c r="B58" s="51" t="s">
        <v>7</v>
      </c>
      <c r="C58" s="51"/>
      <c r="D58" s="51">
        <f>I34</f>
        <v>100000</v>
      </c>
      <c r="E58" s="40"/>
      <c r="F58" s="56" t="s">
        <v>46</v>
      </c>
      <c r="G58" s="56"/>
      <c r="H58" s="51"/>
      <c r="I58" s="56" t="s">
        <v>47</v>
      </c>
      <c r="J58" s="42"/>
      <c r="K58" s="40"/>
      <c r="L58" s="40"/>
      <c r="M58" s="40"/>
    </row>
    <row r="59" spans="1:13" x14ac:dyDescent="0.3">
      <c r="A59" s="40"/>
      <c r="B59" s="52" t="s">
        <v>40</v>
      </c>
      <c r="C59" s="52">
        <f>K34</f>
        <v>30000</v>
      </c>
      <c r="D59" s="52"/>
      <c r="E59" s="40"/>
      <c r="F59" s="40" t="s">
        <v>10</v>
      </c>
      <c r="G59" s="40">
        <f>C50</f>
        <v>1371000</v>
      </c>
      <c r="H59" s="40"/>
      <c r="I59" s="40" t="s">
        <v>7</v>
      </c>
      <c r="J59" s="40">
        <v>100000</v>
      </c>
      <c r="K59" s="40"/>
      <c r="L59" s="40"/>
      <c r="M59" s="40"/>
    </row>
    <row r="60" spans="1:13" x14ac:dyDescent="0.3">
      <c r="A60" s="40"/>
      <c r="B60" s="52" t="s">
        <v>43</v>
      </c>
      <c r="C60" s="52">
        <f>B38</f>
        <v>2000</v>
      </c>
      <c r="D60" s="52"/>
      <c r="E60" s="40"/>
      <c r="F60" s="40" t="s">
        <v>14</v>
      </c>
      <c r="G60" s="40">
        <v>74000</v>
      </c>
      <c r="H60" s="40"/>
      <c r="I60" s="40" t="s">
        <v>8</v>
      </c>
      <c r="J60" s="40">
        <v>420000</v>
      </c>
      <c r="K60" s="40"/>
      <c r="L60" s="40"/>
      <c r="M60" s="40"/>
    </row>
    <row r="61" spans="1:13" x14ac:dyDescent="0.3">
      <c r="A61" s="40"/>
      <c r="B61" s="52" t="s">
        <v>13</v>
      </c>
      <c r="C61" s="52"/>
      <c r="D61" s="52">
        <f>F38</f>
        <v>1120000</v>
      </c>
      <c r="E61" s="40"/>
      <c r="F61" s="40" t="s">
        <v>17</v>
      </c>
      <c r="G61" s="40">
        <v>5000</v>
      </c>
      <c r="H61" s="40"/>
      <c r="I61" s="40" t="s">
        <v>20</v>
      </c>
      <c r="J61" s="40">
        <v>30000</v>
      </c>
      <c r="K61" s="40"/>
      <c r="L61" s="40"/>
      <c r="M61" s="40"/>
    </row>
    <row r="62" spans="1:13" x14ac:dyDescent="0.3">
      <c r="A62" s="40"/>
      <c r="B62" s="52" t="s">
        <v>41</v>
      </c>
      <c r="C62" s="52">
        <f>K38</f>
        <v>96000</v>
      </c>
      <c r="D62" s="52"/>
      <c r="E62" s="40"/>
      <c r="F62" s="40" t="s">
        <v>37</v>
      </c>
      <c r="G62" s="40">
        <v>62000</v>
      </c>
      <c r="H62" s="40"/>
      <c r="I62" s="40"/>
      <c r="J62" s="45">
        <f>SUM(J59:J61)</f>
        <v>550000</v>
      </c>
      <c r="K62" s="40"/>
      <c r="L62" s="40"/>
      <c r="M62" s="40"/>
    </row>
    <row r="63" spans="1:13" x14ac:dyDescent="0.3">
      <c r="A63" s="3"/>
      <c r="B63" s="10" t="s">
        <v>12</v>
      </c>
      <c r="C63" s="10">
        <f>B45</f>
        <v>502000</v>
      </c>
      <c r="D63" s="4"/>
      <c r="E63" s="21"/>
      <c r="F63" s="40" t="s">
        <v>12</v>
      </c>
      <c r="G63" s="40">
        <v>502000</v>
      </c>
      <c r="H63" s="40"/>
      <c r="I63" s="42" t="s">
        <v>48</v>
      </c>
      <c r="J63" s="1"/>
      <c r="K63" s="3"/>
      <c r="L63" s="3"/>
      <c r="M63" s="3"/>
    </row>
    <row r="64" spans="1:13" x14ac:dyDescent="0.3">
      <c r="A64" s="57"/>
      <c r="B64" s="57" t="s">
        <v>8</v>
      </c>
      <c r="C64" s="57"/>
      <c r="D64" s="57">
        <f>F44</f>
        <v>420000</v>
      </c>
      <c r="E64" s="57"/>
      <c r="F64" s="40"/>
      <c r="G64" s="40"/>
      <c r="H64" s="40"/>
      <c r="I64" s="40" t="s">
        <v>32</v>
      </c>
      <c r="J64" s="57">
        <v>50000</v>
      </c>
      <c r="K64" s="57"/>
      <c r="L64" s="57"/>
      <c r="M64" s="57"/>
    </row>
    <row r="65" spans="1:13" x14ac:dyDescent="0.3">
      <c r="A65" s="57"/>
      <c r="B65" s="57" t="s">
        <v>20</v>
      </c>
      <c r="C65" s="57"/>
      <c r="D65" s="57">
        <f>I44</f>
        <v>30000</v>
      </c>
      <c r="E65" s="57"/>
      <c r="F65" s="40"/>
      <c r="G65" s="40"/>
      <c r="H65" s="40"/>
      <c r="I65" s="40" t="s">
        <v>33</v>
      </c>
      <c r="J65" s="57">
        <v>150000</v>
      </c>
      <c r="K65" s="57"/>
      <c r="L65" s="57"/>
      <c r="M65" s="57"/>
    </row>
    <row r="66" spans="1:13" x14ac:dyDescent="0.3">
      <c r="A66" s="57"/>
      <c r="B66" s="58" t="s">
        <v>42</v>
      </c>
      <c r="C66" s="58">
        <f>K42</f>
        <v>40000</v>
      </c>
      <c r="D66" s="58"/>
      <c r="E66" s="57"/>
      <c r="F66" s="57"/>
      <c r="G66" s="57"/>
      <c r="H66" s="59"/>
      <c r="I66" s="60" t="s">
        <v>49</v>
      </c>
      <c r="J66" s="59">
        <f>J68-J65-J64-J62</f>
        <v>1264000</v>
      </c>
      <c r="K66" s="57"/>
      <c r="L66" s="57"/>
      <c r="M66" s="57"/>
    </row>
    <row r="67" spans="1:13" x14ac:dyDescent="0.3">
      <c r="A67" s="57"/>
      <c r="B67" s="57"/>
      <c r="C67" s="54">
        <f>SUM(C50:C66)</f>
        <v>2532000</v>
      </c>
      <c r="D67" s="54">
        <f>SUM(D50:D66)</f>
        <v>2532000</v>
      </c>
      <c r="E67" s="57"/>
      <c r="F67" s="57"/>
      <c r="G67" s="57"/>
      <c r="H67" s="57"/>
      <c r="I67" s="57"/>
      <c r="J67" s="57"/>
      <c r="K67" s="57"/>
      <c r="L67" s="57"/>
      <c r="M67" s="57"/>
    </row>
    <row r="68" spans="1:13" x14ac:dyDescent="0.3">
      <c r="A68" s="57"/>
      <c r="B68" s="57"/>
      <c r="C68" s="57"/>
      <c r="D68" s="57"/>
      <c r="E68" s="57"/>
      <c r="F68" s="57"/>
      <c r="G68" s="54">
        <f>SUM(G59:G67)</f>
        <v>2014000</v>
      </c>
      <c r="H68" s="57"/>
      <c r="I68" s="57"/>
      <c r="J68" s="54">
        <f>G68</f>
        <v>2014000</v>
      </c>
      <c r="K68" s="57"/>
      <c r="L68" s="57"/>
      <c r="M68" s="57"/>
    </row>
    <row r="69" spans="1:13" x14ac:dyDescent="0.3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</row>
    <row r="70" spans="1:13" x14ac:dyDescent="0.3">
      <c r="A70" s="57"/>
      <c r="B70" s="57"/>
      <c r="C70" s="57"/>
      <c r="D70" s="57"/>
      <c r="E70" s="57"/>
      <c r="F70" s="56" t="s">
        <v>50</v>
      </c>
      <c r="G70" s="56"/>
      <c r="H70" s="56"/>
      <c r="I70" s="57"/>
      <c r="J70" s="57"/>
      <c r="K70" s="57"/>
      <c r="L70" s="57"/>
      <c r="M70" s="57"/>
    </row>
    <row r="71" spans="1:13" x14ac:dyDescent="0.3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</row>
    <row r="72" spans="1:13" x14ac:dyDescent="0.3">
      <c r="A72" s="57"/>
      <c r="B72" s="57"/>
      <c r="C72" s="57"/>
      <c r="D72" s="57"/>
      <c r="E72" s="57"/>
      <c r="F72" s="61" t="s">
        <v>51</v>
      </c>
      <c r="G72" s="57"/>
      <c r="H72" s="57">
        <v>662000</v>
      </c>
      <c r="I72" s="57"/>
      <c r="J72" s="57"/>
      <c r="K72" s="57"/>
      <c r="L72" s="57"/>
      <c r="M72" s="57"/>
    </row>
    <row r="73" spans="1:13" x14ac:dyDescent="0.3">
      <c r="A73" s="57"/>
      <c r="B73" s="57"/>
      <c r="C73" s="57"/>
      <c r="D73" s="57"/>
      <c r="E73" s="57"/>
      <c r="F73" s="57" t="s">
        <v>52</v>
      </c>
      <c r="G73" s="57"/>
      <c r="H73" s="57">
        <f>J66-H72</f>
        <v>602000</v>
      </c>
      <c r="I73" s="57"/>
      <c r="J73" s="57"/>
      <c r="K73" s="57"/>
      <c r="L73" s="57"/>
      <c r="M73" s="57"/>
    </row>
    <row r="74" spans="1:13" x14ac:dyDescent="0.3">
      <c r="A74" s="57"/>
      <c r="B74" s="57"/>
      <c r="C74" s="57"/>
      <c r="D74" s="57"/>
      <c r="E74" s="57"/>
      <c r="F74" s="61" t="s">
        <v>53</v>
      </c>
      <c r="G74" s="57"/>
      <c r="H74" s="62">
        <f>SUM(H72:H73)</f>
        <v>1264000</v>
      </c>
      <c r="I74" s="57"/>
      <c r="J74" s="57"/>
      <c r="K74" s="57"/>
      <c r="L74" s="57"/>
      <c r="M74" s="57"/>
    </row>
    <row r="75" spans="1:13" x14ac:dyDescent="0.3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</row>
    <row r="78" spans="1:13" x14ac:dyDescent="0.3">
      <c r="A78" s="64" t="s">
        <v>55</v>
      </c>
      <c r="B78" s="63"/>
      <c r="C78" s="63"/>
      <c r="D78" s="63"/>
      <c r="E78" s="63"/>
      <c r="F78" s="63"/>
      <c r="G78" s="63"/>
      <c r="H78" s="63"/>
      <c r="I78" s="63"/>
      <c r="J78" s="63"/>
      <c r="K78" s="63"/>
    </row>
    <row r="80" spans="1:13" x14ac:dyDescent="0.3">
      <c r="B80" s="68" t="s">
        <v>2</v>
      </c>
      <c r="C80" s="68"/>
      <c r="D80" s="68" t="s">
        <v>3</v>
      </c>
      <c r="E80" s="68"/>
      <c r="F80" s="68" t="s">
        <v>4</v>
      </c>
      <c r="G80" s="69"/>
    </row>
    <row r="81" spans="2:7" x14ac:dyDescent="0.3">
      <c r="B81" s="70" t="s">
        <v>56</v>
      </c>
      <c r="D81" t="s">
        <v>10</v>
      </c>
      <c r="E81" s="71">
        <v>900000</v>
      </c>
      <c r="F81" t="s">
        <v>32</v>
      </c>
      <c r="G81" s="65">
        <v>100000</v>
      </c>
    </row>
    <row r="82" spans="2:7" x14ac:dyDescent="0.3">
      <c r="B82" s="68"/>
      <c r="C82" s="66"/>
      <c r="D82" s="66"/>
      <c r="E82" s="72"/>
      <c r="F82" s="66" t="s">
        <v>33</v>
      </c>
      <c r="G82" s="67">
        <v>800000</v>
      </c>
    </row>
    <row r="83" spans="2:7" x14ac:dyDescent="0.3">
      <c r="B83" s="68" t="s">
        <v>56</v>
      </c>
      <c r="C83" s="66"/>
      <c r="D83" s="66" t="s">
        <v>57</v>
      </c>
      <c r="E83" s="72">
        <v>200000</v>
      </c>
      <c r="F83" s="66" t="s">
        <v>10</v>
      </c>
      <c r="G83" s="67">
        <v>200000</v>
      </c>
    </row>
    <row r="84" spans="2:7" x14ac:dyDescent="0.3">
      <c r="B84" s="68" t="s">
        <v>58</v>
      </c>
      <c r="C84" s="66"/>
      <c r="D84" s="66" t="s">
        <v>10</v>
      </c>
      <c r="E84" s="72">
        <v>550000</v>
      </c>
      <c r="F84" s="66" t="s">
        <v>10</v>
      </c>
      <c r="G84" s="67">
        <v>550000</v>
      </c>
    </row>
    <row r="85" spans="2:7" x14ac:dyDescent="0.3">
      <c r="B85" s="70" t="s">
        <v>59</v>
      </c>
      <c r="D85" t="s">
        <v>6</v>
      </c>
      <c r="E85" s="73">
        <v>140000</v>
      </c>
      <c r="F85" t="s">
        <v>10</v>
      </c>
      <c r="G85" s="65">
        <v>180000</v>
      </c>
    </row>
    <row r="86" spans="2:7" x14ac:dyDescent="0.3">
      <c r="B86" s="68"/>
      <c r="C86" s="66"/>
      <c r="D86" s="66" t="s">
        <v>17</v>
      </c>
      <c r="E86" s="72">
        <v>40000</v>
      </c>
      <c r="F86" s="66"/>
      <c r="G86" s="67"/>
    </row>
    <row r="87" spans="2:7" x14ac:dyDescent="0.3">
      <c r="B87" s="68" t="s">
        <v>60</v>
      </c>
      <c r="C87" s="66"/>
      <c r="D87" s="66" t="s">
        <v>6</v>
      </c>
      <c r="E87" s="72">
        <v>130000</v>
      </c>
      <c r="F87" s="66" t="s">
        <v>8</v>
      </c>
      <c r="G87" s="67">
        <v>130000</v>
      </c>
    </row>
    <row r="88" spans="2:7" x14ac:dyDescent="0.3">
      <c r="B88" s="68" t="s">
        <v>61</v>
      </c>
      <c r="C88" s="66"/>
      <c r="D88" s="66" t="s">
        <v>6</v>
      </c>
      <c r="E88" s="72">
        <v>170000</v>
      </c>
      <c r="F88" s="66" t="s">
        <v>7</v>
      </c>
      <c r="G88" s="67">
        <v>170000</v>
      </c>
    </row>
    <row r="89" spans="2:7" x14ac:dyDescent="0.3">
      <c r="B89" s="68" t="s">
        <v>62</v>
      </c>
      <c r="C89" s="66"/>
      <c r="D89" s="66" t="s">
        <v>22</v>
      </c>
      <c r="E89" s="72">
        <v>45000</v>
      </c>
      <c r="F89" s="66" t="s">
        <v>10</v>
      </c>
      <c r="G89" s="67">
        <v>45000</v>
      </c>
    </row>
    <row r="90" spans="2:7" x14ac:dyDescent="0.3">
      <c r="B90" s="68" t="s">
        <v>63</v>
      </c>
      <c r="C90" s="66"/>
      <c r="D90" s="66" t="s">
        <v>12</v>
      </c>
      <c r="E90" s="72">
        <v>500000</v>
      </c>
      <c r="F90" s="66" t="s">
        <v>13</v>
      </c>
      <c r="G90" s="67">
        <v>500000</v>
      </c>
    </row>
    <row r="91" spans="2:7" x14ac:dyDescent="0.3">
      <c r="B91" s="68" t="s">
        <v>64</v>
      </c>
      <c r="C91" s="66"/>
      <c r="D91" s="66" t="s">
        <v>8</v>
      </c>
      <c r="E91" s="72">
        <v>100000</v>
      </c>
      <c r="F91" s="66" t="s">
        <v>10</v>
      </c>
      <c r="G91" s="67">
        <v>100000</v>
      </c>
    </row>
    <row r="92" spans="2:7" x14ac:dyDescent="0.3">
      <c r="B92" s="68" t="s">
        <v>65</v>
      </c>
      <c r="C92" s="66"/>
      <c r="D92" s="66" t="s">
        <v>10</v>
      </c>
      <c r="E92" s="72">
        <v>100000</v>
      </c>
      <c r="F92" s="66" t="s">
        <v>20</v>
      </c>
      <c r="G92" s="67">
        <v>100000</v>
      </c>
    </row>
    <row r="93" spans="2:7" x14ac:dyDescent="0.3">
      <c r="B93" s="70" t="s">
        <v>66</v>
      </c>
      <c r="D93" t="s">
        <v>10</v>
      </c>
      <c r="E93" s="73">
        <v>350000</v>
      </c>
      <c r="F93" t="s">
        <v>13</v>
      </c>
      <c r="G93" s="65">
        <v>585000</v>
      </c>
    </row>
    <row r="94" spans="2:7" x14ac:dyDescent="0.3">
      <c r="B94" s="68"/>
      <c r="C94" s="66"/>
      <c r="D94" s="66" t="s">
        <v>14</v>
      </c>
      <c r="E94" s="72">
        <f>G93-E93</f>
        <v>235000</v>
      </c>
      <c r="F94" s="66"/>
      <c r="G94" s="66"/>
    </row>
    <row r="95" spans="2:7" x14ac:dyDescent="0.3">
      <c r="B95" s="68" t="s">
        <v>67</v>
      </c>
      <c r="C95" s="66"/>
      <c r="D95" s="66" t="s">
        <v>6</v>
      </c>
      <c r="E95" s="72">
        <v>160000</v>
      </c>
      <c r="F95" s="66" t="s">
        <v>8</v>
      </c>
      <c r="G95" s="67">
        <v>160000</v>
      </c>
    </row>
    <row r="96" spans="2:7" x14ac:dyDescent="0.3">
      <c r="B96" s="68" t="s">
        <v>68</v>
      </c>
      <c r="C96" s="66"/>
      <c r="D96" s="66" t="s">
        <v>10</v>
      </c>
      <c r="E96" s="72">
        <v>380000</v>
      </c>
      <c r="F96" s="66" t="s">
        <v>12</v>
      </c>
      <c r="G96" s="67">
        <v>380000</v>
      </c>
    </row>
    <row r="97" spans="2:7" x14ac:dyDescent="0.3">
      <c r="B97" s="68" t="s">
        <v>69</v>
      </c>
      <c r="C97" s="66"/>
      <c r="D97" s="66" t="s">
        <v>24</v>
      </c>
      <c r="E97" s="72">
        <v>160000</v>
      </c>
      <c r="F97" s="66" t="s">
        <v>10</v>
      </c>
      <c r="G97" s="67">
        <v>160000</v>
      </c>
    </row>
    <row r="98" spans="2:7" x14ac:dyDescent="0.3">
      <c r="B98" s="70" t="s">
        <v>70</v>
      </c>
      <c r="D98" t="s">
        <v>19</v>
      </c>
      <c r="E98" s="73">
        <v>6000</v>
      </c>
      <c r="F98" t="s">
        <v>10</v>
      </c>
      <c r="G98" s="65">
        <v>34000</v>
      </c>
    </row>
    <row r="99" spans="2:7" x14ac:dyDescent="0.3">
      <c r="B99" s="68"/>
      <c r="C99" s="66"/>
      <c r="D99" s="66" t="s">
        <v>71</v>
      </c>
      <c r="E99" s="72">
        <v>28000</v>
      </c>
      <c r="F99" s="66"/>
      <c r="G99" s="66"/>
    </row>
    <row r="100" spans="2:7" x14ac:dyDescent="0.3">
      <c r="B100" s="68" t="s">
        <v>72</v>
      </c>
      <c r="C100" s="66"/>
      <c r="D100" s="66" t="s">
        <v>74</v>
      </c>
      <c r="E100" s="72">
        <v>260000</v>
      </c>
      <c r="F100" s="66" t="s">
        <v>73</v>
      </c>
      <c r="G100" s="67">
        <v>260000</v>
      </c>
    </row>
  </sheetData>
  <mergeCells count="21">
    <mergeCell ref="A78:K78"/>
    <mergeCell ref="B41:C41"/>
    <mergeCell ref="E41:F41"/>
    <mergeCell ref="H41:I41"/>
    <mergeCell ref="K41:L41"/>
    <mergeCell ref="B48:D48"/>
    <mergeCell ref="F57:J57"/>
    <mergeCell ref="E33:F33"/>
    <mergeCell ref="H33:I33"/>
    <mergeCell ref="K33:L33"/>
    <mergeCell ref="B37:C37"/>
    <mergeCell ref="E37:F37"/>
    <mergeCell ref="H37:I37"/>
    <mergeCell ref="K37:L37"/>
    <mergeCell ref="B26:C26"/>
    <mergeCell ref="E26:F26"/>
    <mergeCell ref="H26:I26"/>
    <mergeCell ref="K26:L26"/>
    <mergeCell ref="E29:F29"/>
    <mergeCell ref="H29:I29"/>
    <mergeCell ref="K29:L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Noam Newman</dc:creator>
  <cp:lastModifiedBy>Noam Newman</cp:lastModifiedBy>
  <dcterms:created xsi:type="dcterms:W3CDTF">2015-06-05T18:17:20Z</dcterms:created>
  <dcterms:modified xsi:type="dcterms:W3CDTF">2026-05-13T13:09:41Z</dcterms:modified>
</cp:coreProperties>
</file>