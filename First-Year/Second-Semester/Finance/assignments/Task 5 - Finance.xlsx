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oam Newman\Desktop\"/>
    </mc:Choice>
  </mc:AlternateContent>
  <xr:revisionPtr revIDLastSave="0" documentId="13_ncr:1_{1F85E4BD-7B95-490F-BA37-1B7FA4B9C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1" l="1"/>
  <c r="F206" i="1"/>
  <c r="F204" i="1"/>
  <c r="C206" i="1"/>
  <c r="C199" i="1"/>
  <c r="C197" i="1"/>
  <c r="F196" i="1"/>
  <c r="J199" i="1"/>
  <c r="D189" i="1"/>
  <c r="D188" i="1"/>
  <c r="C186" i="1"/>
  <c r="K152" i="1"/>
  <c r="L152" i="1"/>
  <c r="D182" i="1"/>
  <c r="C181" i="1"/>
  <c r="J200" i="1" s="1"/>
  <c r="D179" i="1"/>
  <c r="F198" i="1" s="1"/>
  <c r="C178" i="1"/>
  <c r="J196" i="1" s="1"/>
  <c r="D177" i="1"/>
  <c r="C176" i="1"/>
  <c r="J197" i="1" s="1"/>
  <c r="C175" i="1"/>
  <c r="J198" i="1" s="1"/>
  <c r="C174" i="1"/>
  <c r="C200" i="1" s="1"/>
  <c r="O152" i="1"/>
  <c r="N152" i="1"/>
  <c r="L161" i="1"/>
  <c r="D183" i="1" s="1"/>
  <c r="F197" i="1" s="1"/>
  <c r="I163" i="1"/>
  <c r="H163" i="1"/>
  <c r="C156" i="1"/>
  <c r="B156" i="1"/>
  <c r="I137" i="1"/>
  <c r="D115" i="1"/>
  <c r="C115" i="1"/>
  <c r="J122" i="1"/>
  <c r="C127" i="1"/>
  <c r="F125" i="1" s="1"/>
  <c r="F127" i="1" s="1"/>
  <c r="F88" i="1"/>
  <c r="E88" i="1"/>
  <c r="H96" i="1"/>
  <c r="C91" i="1"/>
  <c r="B91" i="1"/>
  <c r="J55" i="1"/>
  <c r="J59" i="1" s="1"/>
  <c r="C64" i="1"/>
  <c r="F64" i="1" s="1"/>
  <c r="F62" i="1" s="1"/>
  <c r="D51" i="1"/>
  <c r="C51" i="1"/>
  <c r="C34" i="1"/>
  <c r="B34" i="1"/>
  <c r="B157" i="1" l="1"/>
  <c r="C173" i="1" s="1"/>
  <c r="C196" i="1" s="1"/>
  <c r="J195" i="1"/>
  <c r="H164" i="1"/>
  <c r="C180" i="1" s="1"/>
  <c r="C198" i="1" s="1"/>
  <c r="N153" i="1"/>
  <c r="C185" i="1" s="1"/>
  <c r="C190" i="1" s="1"/>
  <c r="L153" i="1"/>
  <c r="D184" i="1" s="1"/>
  <c r="D190" i="1" s="1"/>
  <c r="B92" i="1"/>
  <c r="B35" i="1"/>
  <c r="F89" i="1"/>
</calcChain>
</file>

<file path=xl/sharedStrings.xml><?xml version="1.0" encoding="utf-8"?>
<sst xmlns="http://schemas.openxmlformats.org/spreadsheetml/2006/main" count="279" uniqueCount="80">
  <si>
    <t>פרטים</t>
  </si>
  <si>
    <t>צד ימין</t>
  </si>
  <si>
    <t>צד שמאל</t>
  </si>
  <si>
    <t>החברה קנתה / רכשה סחורה ב 100 שח באמצעות העברה בנקאית</t>
  </si>
  <si>
    <t>קניות</t>
  </si>
  <si>
    <t>עוש</t>
  </si>
  <si>
    <t>החברה קנתה / רכשה סחורה ב 250 שח באשראי ספקים</t>
  </si>
  <si>
    <t>ספקים</t>
  </si>
  <si>
    <t>החברה קנתה סחורה בשיק דחוי 30,000 שח</t>
  </si>
  <si>
    <t>שיקים לפרעון</t>
  </si>
  <si>
    <t>החברה קנתה סחורה בשיק 500 שח</t>
  </si>
  <si>
    <t>החברה שלמה הוצאות ארנונה בשיק 1000 שח</t>
  </si>
  <si>
    <t>הוצאות ארנונה</t>
  </si>
  <si>
    <t>החברה מכרה סחורה 500 שח בהעברה בנקאית</t>
  </si>
  <si>
    <t>מכירות</t>
  </si>
  <si>
    <t>החברה מכרה סחורה 1000 שח בשיק דחוי</t>
  </si>
  <si>
    <t>שיקים לקבל</t>
  </si>
  <si>
    <t>החברה מכרה סחורה 1000 שח הסכום התקבל</t>
  </si>
  <si>
    <t>העברה בנקאית 200 שח</t>
  </si>
  <si>
    <t>שיק דחוי 300 שח</t>
  </si>
  <si>
    <t>והיתרה באשראי לקוחות - 500 שח</t>
  </si>
  <si>
    <t>לקוחות</t>
  </si>
  <si>
    <t>דוגמה שנת 2020</t>
  </si>
  <si>
    <t>חברת סטינפי הוקמה ב 1.1.2020 להלן פעולות שביצעה החברה השנה</t>
  </si>
  <si>
    <t>החברה הנפיקה 50,000 מניות 1 שח תמורת 200,000 שח בהעברה בנקאית</t>
  </si>
  <si>
    <t>החברה קנתה סחורה 134,000 שח שולם 34,000 שח בשיק היתרה באשראי ספקים</t>
  </si>
  <si>
    <t>החברה מכרה סחורה 240,000 שח התקבל 100,000 שח בהעברה בנקאית והיתרה באשראי לקוחות</t>
  </si>
  <si>
    <t>החברה שלמה הוצאות שכר 50,000 שח בשיק</t>
  </si>
  <si>
    <t>לכל שנה בנפרד לעשות</t>
  </si>
  <si>
    <t>כרטיסי טי</t>
  </si>
  <si>
    <t>מאזן בוחן</t>
  </si>
  <si>
    <t>דוחות - מאזן ורווהפ</t>
  </si>
  <si>
    <t>פקודות יומן</t>
  </si>
  <si>
    <t>פקודות יומן לשנת 2020</t>
  </si>
  <si>
    <t>הון מניות</t>
  </si>
  <si>
    <t>פרמיה</t>
  </si>
  <si>
    <t>הוצאות שכר</t>
  </si>
  <si>
    <t>ריכוז יתרות מאזן בוחן</t>
  </si>
  <si>
    <t>ימין</t>
  </si>
  <si>
    <t>שמאל</t>
  </si>
  <si>
    <t>הוצ שכר</t>
  </si>
  <si>
    <t>מאזן 31.12.2021</t>
  </si>
  <si>
    <t>נכסים</t>
  </si>
  <si>
    <t>התחייבויות</t>
  </si>
  <si>
    <t>הלוואה</t>
  </si>
  <si>
    <t>מכונה</t>
  </si>
  <si>
    <t>הון עצמי</t>
  </si>
  <si>
    <t>עודפים 31.12.21</t>
  </si>
  <si>
    <t>מאזן 31.12.2020</t>
  </si>
  <si>
    <t>דוח רווח או הפסד 2021</t>
  </si>
  <si>
    <t>הוצ שכירות</t>
  </si>
  <si>
    <t>רווח השנה</t>
  </si>
  <si>
    <t>המשך דוגמה שנת 2021</t>
  </si>
  <si>
    <t>החברה קנתה סחורה 250,000 שח, שולם בשיק 100,000 יתרה אשראי ספקים</t>
  </si>
  <si>
    <t xml:space="preserve"> החברה שלמה 20,000 לספקים על חשבון חוב בשיק</t>
  </si>
  <si>
    <t>החברה מכרה סחורה 1,000,000 שח התקבל 200,000 שיק דחוי היתרה העברה בנקאית</t>
  </si>
  <si>
    <t>לקוח שילם 120,000 שח על חשבון חוב משנה קודמת בשיק</t>
  </si>
  <si>
    <t>החברה רכשה מכונה ב62,000 בשיק</t>
  </si>
  <si>
    <t>החברה נטלה הלוואה 40,000 שח</t>
  </si>
  <si>
    <t>הוצאות שכר בשיק 24,000</t>
  </si>
  <si>
    <t>הוצאות שכירות בשיק 120,000</t>
  </si>
  <si>
    <t>הוצאות שכירות</t>
  </si>
  <si>
    <t>פקודות יומן לשנת 2021</t>
  </si>
  <si>
    <t>י.פ 01.01.2021</t>
  </si>
  <si>
    <t>עודפים</t>
  </si>
  <si>
    <t>נתונים שנת 2022</t>
  </si>
  <si>
    <t>החברה קנתה סחורה 350,000 שח, שולם בשיק דחוי 100,000 יתרה אשראי ספקים</t>
  </si>
  <si>
    <t xml:space="preserve"> החברה שלמה 60,000 לספקים על חשבון חוב בשיק</t>
  </si>
  <si>
    <t>החברה מכרה סחורה 1,120,000 שח התקבל 180,000 שיק דחוי 200,000 אשראי לקוחות והיתרה העברה בנקאית</t>
  </si>
  <si>
    <t>לקוח שילם 146,000 שח על חשבון חוב משנה קודמת בשיק דחוי</t>
  </si>
  <si>
    <t>החברה רכשה מחשב 5,000 בשיק</t>
  </si>
  <si>
    <t>החברה פרעה 10,000 שח עח הלוואה ועוד 2,000 שח הוצאות ריבית</t>
  </si>
  <si>
    <t>החברה שלמה הוצאות שכירות בשיק 30,000</t>
  </si>
  <si>
    <t>החברה שלמה  שכר בשיק 96,000 שח</t>
  </si>
  <si>
    <t>החברה שלמה הוצאות ארנונה 40,000 שח בשיק</t>
  </si>
  <si>
    <t>החברה הפקידה שיק דחוי קיבלה שנה קודמת לבנק בסך 24,000 שח</t>
  </si>
  <si>
    <t>מחשב</t>
  </si>
  <si>
    <t>הוצ ריבית</t>
  </si>
  <si>
    <t>הוצ ארנונה</t>
  </si>
  <si>
    <t>מאזן 31.12.2022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</si>
</sst>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 * #,##0_ ;_ * \-#,##0_ ;_ * &quot;-&quot;??_ ;_ @_ "/>
    <numFmt numFmtId="168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u val="singleAccounting"/>
      <sz val="11"/>
      <color theme="1"/>
      <name val="Calibri"/>
      <family val="2"/>
      <charset val="177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charset val="177"/>
      <scheme val="minor"/>
    </font>
    <font>
      <sz val="11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6">
    <xf numFmtId="0" fontId="0" fillId="0" borderId="0" xfId="0"/>
    <xf numFmtId="165" fontId="4" fillId="0" borderId="0" xfId="1" applyNumberFormat="1" applyFont="1"/>
    <xf numFmtId="165" fontId="5" fillId="0" borderId="0" xfId="1" applyNumberFormat="1" applyFont="1"/>
    <xf numFmtId="165" fontId="0" fillId="0" borderId="0" xfId="1" applyNumberFormat="1" applyFont="1"/>
    <xf numFmtId="165" fontId="5" fillId="0" borderId="0" xfId="1" applyNumberFormat="1" applyFont="1" applyFill="1"/>
    <xf numFmtId="165" fontId="6" fillId="0" borderId="0" xfId="1" applyNumberFormat="1" applyFont="1"/>
    <xf numFmtId="165" fontId="0" fillId="0" borderId="0" xfId="1" applyNumberFormat="1" applyFont="1" applyFill="1" applyBorder="1"/>
    <xf numFmtId="165" fontId="7" fillId="0" borderId="0" xfId="1" applyNumberFormat="1" applyFont="1" applyFill="1"/>
    <xf numFmtId="165" fontId="6" fillId="0" borderId="0" xfId="1" applyNumberFormat="1" applyFont="1" applyFill="1"/>
    <xf numFmtId="165" fontId="7" fillId="0" borderId="0" xfId="1" applyNumberFormat="1" applyFont="1" applyFill="1" applyBorder="1"/>
    <xf numFmtId="165" fontId="6" fillId="0" borderId="0" xfId="1" applyNumberFormat="1" applyFont="1" applyFill="1" applyBorder="1"/>
    <xf numFmtId="165" fontId="0" fillId="0" borderId="0" xfId="1" applyNumberFormat="1" applyFont="1" applyAlignment="1">
      <alignment horizontal="center" vertical="center"/>
    </xf>
    <xf numFmtId="165" fontId="8" fillId="0" borderId="0" xfId="1" applyNumberFormat="1" applyFont="1" applyFill="1" applyBorder="1"/>
    <xf numFmtId="165" fontId="8" fillId="0" borderId="0" xfId="1" applyNumberFormat="1" applyFont="1" applyFill="1"/>
    <xf numFmtId="165" fontId="9" fillId="0" borderId="1" xfId="1" applyNumberFormat="1" applyFont="1" applyBorder="1"/>
    <xf numFmtId="165" fontId="10" fillId="0" borderId="1" xfId="1" applyNumberFormat="1" applyFont="1" applyBorder="1"/>
    <xf numFmtId="165" fontId="6" fillId="0" borderId="1" xfId="1" applyNumberFormat="1" applyFont="1" applyBorder="1"/>
    <xf numFmtId="165" fontId="10" fillId="0" borderId="0" xfId="1" applyNumberFormat="1" applyFont="1" applyFill="1"/>
    <xf numFmtId="0" fontId="3" fillId="0" borderId="0" xfId="0" applyFont="1"/>
    <xf numFmtId="165" fontId="11" fillId="0" borderId="0" xfId="1" applyNumberFormat="1" applyFont="1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0" xfId="0" applyFill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165" fontId="0" fillId="0" borderId="1" xfId="1" applyNumberFormat="1" applyFont="1" applyBorder="1"/>
    <xf numFmtId="0" fontId="0" fillId="0" borderId="2" xfId="0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4" xfId="0" applyBorder="1"/>
    <xf numFmtId="165" fontId="0" fillId="0" borderId="0" xfId="1" applyNumberFormat="1" applyFont="1" applyBorder="1"/>
    <xf numFmtId="165" fontId="11" fillId="0" borderId="0" xfId="1" applyNumberFormat="1" applyFont="1" applyFill="1" applyBorder="1"/>
    <xf numFmtId="165" fontId="12" fillId="2" borderId="0" xfId="1" applyNumberFormat="1" applyFont="1" applyFill="1" applyBorder="1"/>
    <xf numFmtId="165" fontId="9" fillId="2" borderId="0" xfId="1" applyNumberFormat="1" applyFont="1" applyFill="1"/>
    <xf numFmtId="165" fontId="0" fillId="0" borderId="4" xfId="1" applyNumberFormat="1" applyFont="1" applyBorder="1"/>
    <xf numFmtId="165" fontId="0" fillId="0" borderId="1" xfId="1" applyNumberFormat="1" applyFont="1" applyFill="1" applyBorder="1"/>
    <xf numFmtId="165" fontId="13" fillId="0" borderId="0" xfId="1" applyNumberFormat="1" applyFont="1" applyFill="1" applyBorder="1"/>
    <xf numFmtId="165" fontId="0" fillId="0" borderId="0" xfId="1" applyNumberFormat="1" applyFont="1" applyFill="1" applyBorder="1" applyAlignment="1"/>
    <xf numFmtId="165" fontId="0" fillId="0" borderId="4" xfId="1" applyNumberFormat="1" applyFont="1" applyFill="1" applyBorder="1"/>
    <xf numFmtId="165" fontId="1" fillId="0" borderId="1" xfId="1" applyNumberFormat="1" applyFont="1" applyBorder="1"/>
    <xf numFmtId="165" fontId="1" fillId="0" borderId="0" xfId="1" applyNumberFormat="1" applyFont="1"/>
    <xf numFmtId="165" fontId="1" fillId="0" borderId="0" xfId="1" applyNumberFormat="1" applyFont="1" applyBorder="1"/>
    <xf numFmtId="165" fontId="1" fillId="0" borderId="0" xfId="1" applyNumberFormat="1" applyFont="1" applyFill="1" applyBorder="1"/>
    <xf numFmtId="165" fontId="14" fillId="0" borderId="0" xfId="1" applyNumberFormat="1" applyFont="1" applyFill="1" applyBorder="1"/>
    <xf numFmtId="0" fontId="0" fillId="0" borderId="0" xfId="0" applyFont="1"/>
    <xf numFmtId="165" fontId="1" fillId="0" borderId="1" xfId="1" applyNumberFormat="1" applyFont="1" applyFill="1" applyBorder="1"/>
    <xf numFmtId="165" fontId="1" fillId="0" borderId="5" xfId="1" applyNumberFormat="1" applyFont="1" applyFill="1" applyBorder="1"/>
    <xf numFmtId="0" fontId="0" fillId="0" borderId="5" xfId="0" applyBorder="1"/>
    <xf numFmtId="3" fontId="0" fillId="0" borderId="5" xfId="0" applyNumberFormat="1" applyBorder="1"/>
    <xf numFmtId="0" fontId="0" fillId="0" borderId="5" xfId="0" applyFill="1" applyBorder="1"/>
    <xf numFmtId="0" fontId="0" fillId="0" borderId="0" xfId="0" applyFont="1" applyFill="1" applyBorder="1"/>
    <xf numFmtId="3" fontId="0" fillId="0" borderId="0" xfId="0" applyNumberFormat="1" applyFont="1"/>
    <xf numFmtId="165" fontId="3" fillId="0" borderId="1" xfId="1" applyNumberFormat="1" applyFont="1" applyBorder="1" applyAlignment="1">
      <alignment horizontal="center"/>
    </xf>
    <xf numFmtId="165" fontId="3" fillId="0" borderId="1" xfId="1" applyNumberFormat="1" applyFont="1" applyFill="1" applyBorder="1"/>
    <xf numFmtId="3" fontId="0" fillId="0" borderId="0" xfId="0" applyNumberFormat="1" applyBorder="1"/>
    <xf numFmtId="3" fontId="2" fillId="0" borderId="0" xfId="0" applyNumberFormat="1" applyFont="1"/>
    <xf numFmtId="0" fontId="15" fillId="0" borderId="0" xfId="0" applyFont="1"/>
    <xf numFmtId="3" fontId="14" fillId="0" borderId="0" xfId="0" applyNumberFormat="1" applyFont="1"/>
    <xf numFmtId="3" fontId="2" fillId="0" borderId="2" xfId="0" applyNumberFormat="1" applyFont="1" applyBorder="1"/>
    <xf numFmtId="3" fontId="0" fillId="0" borderId="0" xfId="0" applyNumberFormat="1" applyFill="1" applyBorder="1"/>
    <xf numFmtId="165" fontId="6" fillId="0" borderId="1" xfId="1" applyNumberFormat="1" applyFont="1" applyFill="1" applyBorder="1"/>
    <xf numFmtId="165" fontId="6" fillId="0" borderId="5" xfId="1" applyNumberFormat="1" applyFont="1" applyFill="1" applyBorder="1"/>
    <xf numFmtId="165" fontId="6" fillId="0" borderId="4" xfId="1" applyNumberFormat="1" applyFont="1" applyFill="1" applyBorder="1" applyAlignment="1">
      <alignment horizontal="center" wrapText="1"/>
    </xf>
    <xf numFmtId="165" fontId="6" fillId="0" borderId="0" xfId="1" applyNumberFormat="1" applyFont="1" applyFill="1" applyBorder="1" applyAlignment="1">
      <alignment horizontal="center" wrapText="1"/>
    </xf>
    <xf numFmtId="165" fontId="6" fillId="0" borderId="1" xfId="1" applyNumberFormat="1" applyFont="1" applyFill="1" applyBorder="1" applyAlignment="1">
      <alignment horizontal="center" wrapText="1"/>
    </xf>
    <xf numFmtId="3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2" fillId="0" borderId="3" xfId="0" applyNumberFormat="1" applyFont="1" applyBorder="1"/>
    <xf numFmtId="0" fontId="0" fillId="0" borderId="3" xfId="0" applyBorder="1"/>
    <xf numFmtId="168" fontId="0" fillId="0" borderId="4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251460</xdr:colOff>
      <xdr:row>3</xdr:row>
      <xdr:rowOff>144780</xdr:rowOff>
    </xdr:from>
    <xdr:to>
      <xdr:col>10</xdr:col>
      <xdr:colOff>396540</xdr:colOff>
      <xdr:row>14</xdr:row>
      <xdr:rowOff>21102</xdr:rowOff>
    </xdr:to>
    <xdr:pic>
      <xdr:nvPicPr>
        <xdr:cNvPr id="2" name="תמונה 14">
          <a:extLst>
            <a:ext uri="{FF2B5EF4-FFF2-40B4-BE49-F238E27FC236}">
              <a16:creationId xmlns:a16="http://schemas.microsoft.com/office/drawing/2014/main" id="{7876C16F-CE17-4E2B-B1BA-FCA89327A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1132900" y="693420"/>
          <a:ext cx="1425240" cy="1910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206"/>
  <sheetViews>
    <sheetView rightToLeft="1" tabSelected="1" topLeftCell="A191" workbookViewId="0">
      <selection activeCell="F202" sqref="F202"/>
    </sheetView>
  </sheetViews>
  <sheetFormatPr defaultRowHeight="14.4" x14ac:dyDescent="0.3"/>
  <cols>
    <col min="1" max="1" width="8.88671875" style="18"/>
    <col min="3" max="3" width="9.77734375" bestFit="1" customWidth="1"/>
    <col min="4" max="4" width="31.21875" customWidth="1"/>
    <col min="5" max="5" width="13.44140625" customWidth="1"/>
    <col min="6" max="6" width="9.77734375" bestFit="1" customWidth="1"/>
    <col min="7" max="7" width="12.33203125" customWidth="1"/>
    <col min="8" max="8" width="12.5546875" customWidth="1"/>
    <col min="10" max="10" width="9.77734375" bestFit="1" customWidth="1"/>
  </cols>
  <sheetData>
    <row r="4" spans="1:8" ht="16.2" x14ac:dyDescent="0.45">
      <c r="A4" s="18">
        <v>1</v>
      </c>
      <c r="B4" s="1" t="s">
        <v>0</v>
      </c>
      <c r="C4" s="1"/>
      <c r="D4" s="1"/>
      <c r="E4" s="2" t="s">
        <v>1</v>
      </c>
      <c r="F4" s="3"/>
      <c r="G4" s="4" t="s">
        <v>2</v>
      </c>
      <c r="H4" s="3"/>
    </row>
    <row r="5" spans="1:8" x14ac:dyDescent="0.3">
      <c r="B5" s="5" t="s">
        <v>3</v>
      </c>
      <c r="C5" s="5"/>
      <c r="D5" s="5"/>
      <c r="E5" s="5" t="s">
        <v>4</v>
      </c>
      <c r="F5" s="6">
        <v>100</v>
      </c>
      <c r="G5" s="3" t="s">
        <v>5</v>
      </c>
      <c r="H5" s="3">
        <v>100</v>
      </c>
    </row>
    <row r="6" spans="1:8" x14ac:dyDescent="0.3">
      <c r="B6" s="7" t="s">
        <v>6</v>
      </c>
      <c r="C6" s="7"/>
      <c r="D6" s="7"/>
      <c r="E6" s="8" t="s">
        <v>4</v>
      </c>
      <c r="F6" s="6">
        <v>250</v>
      </c>
      <c r="G6" s="3" t="s">
        <v>7</v>
      </c>
      <c r="H6" s="3">
        <v>250</v>
      </c>
    </row>
    <row r="7" spans="1:8" x14ac:dyDescent="0.3">
      <c r="B7" s="7" t="s">
        <v>8</v>
      </c>
      <c r="C7" s="7"/>
      <c r="D7" s="7"/>
      <c r="E7" s="8" t="s">
        <v>4</v>
      </c>
      <c r="F7" s="6">
        <v>30000</v>
      </c>
      <c r="G7" s="3" t="s">
        <v>9</v>
      </c>
      <c r="H7" s="3">
        <v>30000</v>
      </c>
    </row>
    <row r="8" spans="1:8" x14ac:dyDescent="0.3">
      <c r="B8" s="7" t="s">
        <v>10</v>
      </c>
      <c r="C8" s="7"/>
      <c r="D8" s="7"/>
      <c r="E8" s="8" t="s">
        <v>4</v>
      </c>
      <c r="F8" s="6">
        <v>500</v>
      </c>
      <c r="G8" s="3" t="s">
        <v>5</v>
      </c>
      <c r="H8" s="3">
        <v>500</v>
      </c>
    </row>
    <row r="9" spans="1:8" x14ac:dyDescent="0.3">
      <c r="B9" s="7" t="s">
        <v>11</v>
      </c>
      <c r="C9" s="7"/>
      <c r="D9" s="7"/>
      <c r="E9" s="5" t="s">
        <v>12</v>
      </c>
      <c r="F9" s="6">
        <v>1000</v>
      </c>
      <c r="G9" s="3" t="s">
        <v>5</v>
      </c>
      <c r="H9" s="3">
        <v>1000</v>
      </c>
    </row>
    <row r="10" spans="1:8" x14ac:dyDescent="0.3">
      <c r="B10" s="7" t="s">
        <v>13</v>
      </c>
      <c r="C10" s="7"/>
      <c r="D10" s="7"/>
      <c r="E10" s="8" t="s">
        <v>5</v>
      </c>
      <c r="F10" s="6">
        <v>500</v>
      </c>
      <c r="G10" s="3" t="s">
        <v>14</v>
      </c>
      <c r="H10" s="3">
        <v>500</v>
      </c>
    </row>
    <row r="11" spans="1:8" x14ac:dyDescent="0.3">
      <c r="B11" s="9" t="s">
        <v>15</v>
      </c>
      <c r="C11" s="9"/>
      <c r="D11" s="9"/>
      <c r="E11" s="10" t="s">
        <v>16</v>
      </c>
      <c r="F11" s="6">
        <v>1000</v>
      </c>
      <c r="G11" s="3" t="s">
        <v>14</v>
      </c>
      <c r="H11" s="3">
        <v>1000</v>
      </c>
    </row>
    <row r="12" spans="1:8" x14ac:dyDescent="0.3">
      <c r="B12" s="9" t="s">
        <v>17</v>
      </c>
      <c r="C12" s="9"/>
      <c r="D12" s="9"/>
      <c r="E12" s="3"/>
      <c r="F12" s="3"/>
      <c r="G12" s="11" t="s">
        <v>14</v>
      </c>
      <c r="H12" s="11">
        <v>1000</v>
      </c>
    </row>
    <row r="13" spans="1:8" x14ac:dyDescent="0.3">
      <c r="B13" s="7" t="s">
        <v>18</v>
      </c>
      <c r="C13" s="7"/>
      <c r="D13" s="7"/>
      <c r="E13" s="12" t="s">
        <v>5</v>
      </c>
      <c r="F13" s="6">
        <v>200</v>
      </c>
      <c r="G13" s="11"/>
      <c r="H13" s="11"/>
    </row>
    <row r="14" spans="1:8" x14ac:dyDescent="0.3">
      <c r="B14" s="7" t="s">
        <v>19</v>
      </c>
      <c r="C14" s="7"/>
      <c r="D14" s="7"/>
      <c r="E14" s="13" t="s">
        <v>16</v>
      </c>
      <c r="F14" s="6">
        <v>300</v>
      </c>
      <c r="G14" s="11"/>
      <c r="H14" s="11"/>
    </row>
    <row r="15" spans="1:8" x14ac:dyDescent="0.3">
      <c r="B15" s="7" t="s">
        <v>20</v>
      </c>
      <c r="C15" s="7"/>
      <c r="D15" s="7"/>
      <c r="E15" s="13" t="s">
        <v>21</v>
      </c>
      <c r="F15" s="6">
        <v>500</v>
      </c>
      <c r="G15" s="11"/>
      <c r="H15" s="11"/>
    </row>
    <row r="17" spans="1:13" x14ac:dyDescent="0.3">
      <c r="A17" s="18">
        <v>2</v>
      </c>
      <c r="B17" s="14" t="s">
        <v>22</v>
      </c>
      <c r="C17" s="15"/>
      <c r="D17" s="14"/>
      <c r="E17" s="14"/>
      <c r="F17" s="16"/>
    </row>
    <row r="18" spans="1:13" x14ac:dyDescent="0.3">
      <c r="B18" s="5" t="s">
        <v>23</v>
      </c>
      <c r="C18" s="5"/>
      <c r="D18" s="5"/>
      <c r="E18" s="5"/>
      <c r="F18" s="5"/>
      <c r="M18" s="17" t="s">
        <v>28</v>
      </c>
    </row>
    <row r="19" spans="1:13" x14ac:dyDescent="0.3">
      <c r="B19" s="5"/>
      <c r="C19" s="5"/>
      <c r="D19" s="5"/>
      <c r="E19" s="5"/>
      <c r="F19" s="5"/>
      <c r="M19" s="17"/>
    </row>
    <row r="20" spans="1:13" ht="16.2" x14ac:dyDescent="0.45">
      <c r="B20" s="18" t="s">
        <v>33</v>
      </c>
      <c r="C20" s="19"/>
      <c r="D20" s="5"/>
      <c r="E20" s="5"/>
      <c r="F20" s="5"/>
      <c r="H20" s="2" t="s">
        <v>1</v>
      </c>
      <c r="I20" s="3"/>
      <c r="J20" s="4" t="s">
        <v>2</v>
      </c>
      <c r="M20" s="17" t="s">
        <v>32</v>
      </c>
    </row>
    <row r="21" spans="1:13" x14ac:dyDescent="0.3">
      <c r="B21" s="5">
        <v>1</v>
      </c>
      <c r="C21" s="5" t="s">
        <v>24</v>
      </c>
      <c r="D21" s="5"/>
      <c r="E21" s="5"/>
      <c r="F21" s="5"/>
      <c r="H21" t="s">
        <v>5</v>
      </c>
      <c r="I21" s="20">
        <v>200000</v>
      </c>
      <c r="J21" t="s">
        <v>34</v>
      </c>
      <c r="K21" s="20">
        <v>50000</v>
      </c>
      <c r="M21" s="17" t="s">
        <v>29</v>
      </c>
    </row>
    <row r="22" spans="1:13" x14ac:dyDescent="0.3">
      <c r="B22" s="21"/>
      <c r="C22" s="21"/>
      <c r="D22" s="21"/>
      <c r="E22" s="16"/>
      <c r="F22" s="16"/>
      <c r="G22" s="21"/>
      <c r="H22" s="21"/>
      <c r="I22" s="21"/>
      <c r="J22" s="21" t="s">
        <v>35</v>
      </c>
      <c r="K22" s="22">
        <v>150000</v>
      </c>
      <c r="M22" s="17" t="s">
        <v>30</v>
      </c>
    </row>
    <row r="23" spans="1:13" x14ac:dyDescent="0.3">
      <c r="B23" s="5">
        <v>2</v>
      </c>
      <c r="C23" s="5" t="s">
        <v>25</v>
      </c>
      <c r="D23" s="5"/>
      <c r="E23" s="5"/>
      <c r="F23" s="5"/>
      <c r="H23" t="s">
        <v>4</v>
      </c>
      <c r="I23" s="20">
        <v>134000</v>
      </c>
      <c r="J23" s="23" t="s">
        <v>5</v>
      </c>
      <c r="K23" s="20">
        <v>34000</v>
      </c>
      <c r="M23" s="17" t="s">
        <v>31</v>
      </c>
    </row>
    <row r="24" spans="1:13" x14ac:dyDescent="0.3">
      <c r="B24" s="21"/>
      <c r="C24" s="21"/>
      <c r="D24" s="21"/>
      <c r="E24" s="16"/>
      <c r="F24" s="16"/>
      <c r="G24" s="21"/>
      <c r="H24" s="21"/>
      <c r="I24" s="21"/>
      <c r="J24" s="24" t="s">
        <v>7</v>
      </c>
      <c r="K24" s="22">
        <v>100000</v>
      </c>
    </row>
    <row r="25" spans="1:13" x14ac:dyDescent="0.3">
      <c r="B25" s="5">
        <v>3</v>
      </c>
      <c r="C25" s="5" t="s">
        <v>26</v>
      </c>
      <c r="D25" s="5"/>
      <c r="H25" s="23" t="s">
        <v>5</v>
      </c>
      <c r="I25" s="20">
        <v>100000</v>
      </c>
      <c r="J25" s="23" t="s">
        <v>14</v>
      </c>
      <c r="K25" s="20">
        <v>240000</v>
      </c>
    </row>
    <row r="26" spans="1:13" x14ac:dyDescent="0.3">
      <c r="B26" s="21"/>
      <c r="C26" s="21"/>
      <c r="D26" s="21"/>
      <c r="E26" s="21"/>
      <c r="F26" s="21"/>
      <c r="G26" s="21"/>
      <c r="H26" s="24" t="s">
        <v>21</v>
      </c>
      <c r="I26" s="22">
        <v>140000</v>
      </c>
      <c r="J26" s="21"/>
      <c r="K26" s="21"/>
    </row>
    <row r="27" spans="1:13" x14ac:dyDescent="0.3">
      <c r="B27" s="5">
        <v>4</v>
      </c>
      <c r="C27" s="5" t="s">
        <v>27</v>
      </c>
      <c r="D27" s="5"/>
      <c r="H27" s="23" t="s">
        <v>36</v>
      </c>
      <c r="I27" s="20">
        <v>50000</v>
      </c>
      <c r="J27" s="23" t="s">
        <v>5</v>
      </c>
      <c r="K27" s="20">
        <v>50000</v>
      </c>
    </row>
    <row r="29" spans="1:13" x14ac:dyDescent="0.3">
      <c r="B29" s="18" t="s">
        <v>29</v>
      </c>
    </row>
    <row r="31" spans="1:13" x14ac:dyDescent="0.3">
      <c r="B31" s="25" t="s">
        <v>5</v>
      </c>
      <c r="C31" s="25"/>
      <c r="E31" s="25" t="s">
        <v>34</v>
      </c>
      <c r="F31" s="25"/>
      <c r="H31" s="25" t="s">
        <v>4</v>
      </c>
      <c r="I31" s="25"/>
      <c r="K31" s="25" t="s">
        <v>14</v>
      </c>
      <c r="L31" s="25"/>
    </row>
    <row r="32" spans="1:13" x14ac:dyDescent="0.3">
      <c r="B32" s="28">
        <v>200000</v>
      </c>
      <c r="C32" s="20">
        <v>34000</v>
      </c>
      <c r="E32" s="27"/>
      <c r="F32" s="20">
        <v>50000</v>
      </c>
      <c r="H32" s="28">
        <v>134000</v>
      </c>
      <c r="K32" s="27"/>
      <c r="L32" s="20">
        <v>240000</v>
      </c>
    </row>
    <row r="33" spans="2:12" x14ac:dyDescent="0.3">
      <c r="B33" s="29">
        <v>100000</v>
      </c>
      <c r="C33" s="20">
        <v>50000</v>
      </c>
    </row>
    <row r="34" spans="2:12" x14ac:dyDescent="0.3">
      <c r="B34" s="30">
        <f>B33+B32</f>
        <v>300000</v>
      </c>
      <c r="C34" s="30">
        <f>C33+C32</f>
        <v>84000</v>
      </c>
    </row>
    <row r="35" spans="2:12" x14ac:dyDescent="0.3">
      <c r="B35" s="30">
        <f>B34-C34</f>
        <v>216000</v>
      </c>
      <c r="C35" s="31"/>
      <c r="E35" s="25" t="s">
        <v>35</v>
      </c>
      <c r="F35" s="25"/>
      <c r="H35" s="25" t="s">
        <v>7</v>
      </c>
      <c r="I35" s="25"/>
      <c r="K35" s="25" t="s">
        <v>21</v>
      </c>
      <c r="L35" s="25"/>
    </row>
    <row r="36" spans="2:12" x14ac:dyDescent="0.3">
      <c r="B36" s="25" t="s">
        <v>36</v>
      </c>
      <c r="C36" s="25"/>
      <c r="E36" s="27"/>
      <c r="F36" s="20">
        <v>150000</v>
      </c>
      <c r="H36" s="27"/>
      <c r="I36" s="20">
        <v>100000</v>
      </c>
      <c r="K36" s="28">
        <v>140000</v>
      </c>
    </row>
    <row r="37" spans="2:12" x14ac:dyDescent="0.3">
      <c r="B37" s="28">
        <v>50000</v>
      </c>
    </row>
    <row r="40" spans="2:12" x14ac:dyDescent="0.3">
      <c r="B40" s="18" t="s">
        <v>30</v>
      </c>
    </row>
    <row r="41" spans="2:12" x14ac:dyDescent="0.3">
      <c r="B41" s="26" t="s">
        <v>37</v>
      </c>
      <c r="C41" s="26"/>
      <c r="D41" s="26"/>
    </row>
    <row r="42" spans="2:12" ht="16.2" x14ac:dyDescent="0.45">
      <c r="B42" s="2" t="s">
        <v>0</v>
      </c>
      <c r="C42" s="2" t="s">
        <v>38</v>
      </c>
      <c r="D42" s="2" t="s">
        <v>39</v>
      </c>
    </row>
    <row r="43" spans="2:12" x14ac:dyDescent="0.3">
      <c r="B43" t="s">
        <v>5</v>
      </c>
      <c r="C43" s="20">
        <v>216000</v>
      </c>
      <c r="D43" s="20"/>
    </row>
    <row r="44" spans="2:12" x14ac:dyDescent="0.3">
      <c r="B44" t="s">
        <v>40</v>
      </c>
      <c r="C44" s="20">
        <v>50000</v>
      </c>
    </row>
    <row r="45" spans="2:12" x14ac:dyDescent="0.3">
      <c r="B45" t="s">
        <v>34</v>
      </c>
      <c r="D45" s="20">
        <v>50000</v>
      </c>
    </row>
    <row r="46" spans="2:12" x14ac:dyDescent="0.3">
      <c r="B46" t="s">
        <v>35</v>
      </c>
      <c r="D46" s="20">
        <v>150000</v>
      </c>
    </row>
    <row r="47" spans="2:12" x14ac:dyDescent="0.3">
      <c r="B47" t="s">
        <v>4</v>
      </c>
      <c r="C47" s="20">
        <v>134000</v>
      </c>
    </row>
    <row r="48" spans="2:12" x14ac:dyDescent="0.3">
      <c r="B48" t="s">
        <v>7</v>
      </c>
      <c r="D48" s="20">
        <v>100000</v>
      </c>
    </row>
    <row r="49" spans="2:10" x14ac:dyDescent="0.3">
      <c r="B49" t="s">
        <v>14</v>
      </c>
      <c r="D49" s="20">
        <v>240000</v>
      </c>
    </row>
    <row r="50" spans="2:10" x14ac:dyDescent="0.3">
      <c r="B50" t="s">
        <v>21</v>
      </c>
      <c r="C50" s="20">
        <v>140000</v>
      </c>
    </row>
    <row r="51" spans="2:10" x14ac:dyDescent="0.3">
      <c r="C51" s="30">
        <f>SUM(C43:C50)</f>
        <v>540000</v>
      </c>
      <c r="D51" s="30">
        <f>SUM(D43:D50)</f>
        <v>540000</v>
      </c>
    </row>
    <row r="54" spans="2:10" x14ac:dyDescent="0.3">
      <c r="B54" s="54" t="s">
        <v>48</v>
      </c>
      <c r="C54" s="54"/>
      <c r="D54" s="54"/>
      <c r="E54" s="54"/>
      <c r="F54" s="54"/>
      <c r="H54" s="55" t="s">
        <v>49</v>
      </c>
      <c r="I54" s="37"/>
      <c r="J54" s="37"/>
    </row>
    <row r="55" spans="2:10" x14ac:dyDescent="0.3">
      <c r="B55" s="26" t="s">
        <v>42</v>
      </c>
      <c r="C55" s="6"/>
      <c r="D55" s="32"/>
      <c r="E55" s="26" t="s">
        <v>43</v>
      </c>
      <c r="F55" s="3"/>
      <c r="H55" s="38" t="s">
        <v>14</v>
      </c>
      <c r="I55" s="6"/>
      <c r="J55" s="6">
        <f>D49</f>
        <v>240000</v>
      </c>
    </row>
    <row r="56" spans="2:10" x14ac:dyDescent="0.3">
      <c r="B56" s="10" t="s">
        <v>5</v>
      </c>
      <c r="C56" s="3">
        <v>216000</v>
      </c>
      <c r="D56" s="32"/>
      <c r="E56" s="3" t="s">
        <v>7</v>
      </c>
      <c r="F56" s="3">
        <v>100000</v>
      </c>
      <c r="H56" s="39" t="s">
        <v>4</v>
      </c>
      <c r="I56" s="39"/>
      <c r="J56" s="6">
        <v>-134000</v>
      </c>
    </row>
    <row r="57" spans="2:10" x14ac:dyDescent="0.3">
      <c r="B57" s="10" t="s">
        <v>21</v>
      </c>
      <c r="C57" s="3">
        <v>140000</v>
      </c>
      <c r="D57" s="32"/>
      <c r="E57" s="3"/>
      <c r="F57" s="3"/>
      <c r="H57" s="6" t="s">
        <v>40</v>
      </c>
      <c r="I57" s="6"/>
      <c r="J57" s="6">
        <v>-50000</v>
      </c>
    </row>
    <row r="58" spans="2:10" x14ac:dyDescent="0.3">
      <c r="B58" s="10"/>
      <c r="C58" s="3"/>
      <c r="D58" s="32"/>
      <c r="E58" s="3"/>
      <c r="F58" s="3"/>
      <c r="H58" s="6"/>
      <c r="I58" s="6"/>
      <c r="J58" s="6"/>
    </row>
    <row r="59" spans="2:10" x14ac:dyDescent="0.3">
      <c r="B59" s="6"/>
      <c r="C59" s="3"/>
      <c r="D59" s="32"/>
      <c r="E59" s="6"/>
      <c r="F59" s="26" t="s">
        <v>46</v>
      </c>
      <c r="H59" s="6" t="s">
        <v>51</v>
      </c>
      <c r="I59" s="6"/>
      <c r="J59" s="40">
        <f>SUM(J55:J58)</f>
        <v>56000</v>
      </c>
    </row>
    <row r="60" spans="2:10" x14ac:dyDescent="0.3">
      <c r="B60" s="10"/>
      <c r="C60" s="3"/>
      <c r="D60" s="32"/>
      <c r="E60" s="6" t="s">
        <v>34</v>
      </c>
      <c r="F60" s="3">
        <v>50000</v>
      </c>
    </row>
    <row r="61" spans="2:10" x14ac:dyDescent="0.3">
      <c r="B61" s="33"/>
      <c r="C61" s="3"/>
      <c r="D61" s="32"/>
      <c r="E61" s="6" t="s">
        <v>35</v>
      </c>
      <c r="F61" s="3">
        <v>150000</v>
      </c>
    </row>
    <row r="62" spans="2:10" x14ac:dyDescent="0.3">
      <c r="B62" s="10"/>
      <c r="C62" s="3"/>
      <c r="D62" s="32"/>
      <c r="E62" s="34" t="s">
        <v>47</v>
      </c>
      <c r="F62" s="35">
        <f>F64-F61-F60-F57-F56</f>
        <v>56000</v>
      </c>
    </row>
    <row r="63" spans="2:10" x14ac:dyDescent="0.3">
      <c r="B63" s="10"/>
      <c r="C63" s="3"/>
      <c r="D63" s="32"/>
      <c r="E63" s="6"/>
      <c r="F63" s="6"/>
    </row>
    <row r="64" spans="2:10" x14ac:dyDescent="0.3">
      <c r="B64" s="10"/>
      <c r="C64" s="36">
        <f>SUM(C56:C63)</f>
        <v>356000</v>
      </c>
      <c r="D64" s="32"/>
      <c r="E64" s="6"/>
      <c r="F64" s="36">
        <f>C64</f>
        <v>356000</v>
      </c>
    </row>
    <row r="65" spans="1:11" x14ac:dyDescent="0.3">
      <c r="B65" s="10"/>
      <c r="C65" s="3"/>
      <c r="D65" s="32"/>
      <c r="E65" s="3"/>
      <c r="F65" s="3"/>
    </row>
    <row r="66" spans="1:11" x14ac:dyDescent="0.3">
      <c r="B66" s="10"/>
      <c r="C66" s="6"/>
      <c r="D66" s="6"/>
      <c r="E66" s="6"/>
      <c r="F66" s="6"/>
    </row>
    <row r="67" spans="1:11" x14ac:dyDescent="0.3">
      <c r="B67" s="10"/>
      <c r="C67" s="6"/>
      <c r="D67" s="6"/>
      <c r="E67" s="10"/>
      <c r="F67" s="6"/>
    </row>
    <row r="68" spans="1:11" x14ac:dyDescent="0.3">
      <c r="A68" s="18">
        <v>3</v>
      </c>
      <c r="B68" s="15" t="s">
        <v>52</v>
      </c>
      <c r="C68" s="15"/>
      <c r="D68" s="41"/>
      <c r="E68" s="41"/>
      <c r="F68" s="6"/>
    </row>
    <row r="69" spans="1:11" ht="16.2" x14ac:dyDescent="0.45">
      <c r="B69" s="18" t="s">
        <v>62</v>
      </c>
      <c r="C69" s="42"/>
      <c r="D69" s="42"/>
      <c r="E69" s="42"/>
      <c r="F69" s="6"/>
      <c r="H69" s="2" t="s">
        <v>1</v>
      </c>
      <c r="I69" s="3"/>
      <c r="J69" s="4" t="s">
        <v>2</v>
      </c>
    </row>
    <row r="70" spans="1:11" x14ac:dyDescent="0.3">
      <c r="B70" s="43">
        <v>1</v>
      </c>
      <c r="C70" s="43" t="s">
        <v>53</v>
      </c>
      <c r="D70" s="43"/>
      <c r="E70" s="43"/>
      <c r="H70" t="s">
        <v>4</v>
      </c>
      <c r="I70" s="20">
        <v>250000</v>
      </c>
      <c r="J70" t="s">
        <v>5</v>
      </c>
      <c r="K70" s="20">
        <v>100000</v>
      </c>
    </row>
    <row r="71" spans="1:11" x14ac:dyDescent="0.3">
      <c r="B71" s="21"/>
      <c r="C71" s="21"/>
      <c r="D71" s="21"/>
      <c r="E71" s="47"/>
      <c r="F71" s="21"/>
      <c r="G71" s="21"/>
      <c r="H71" s="21"/>
      <c r="I71" s="21"/>
      <c r="J71" s="21" t="s">
        <v>7</v>
      </c>
      <c r="K71" s="22">
        <v>150000</v>
      </c>
    </row>
    <row r="72" spans="1:11" x14ac:dyDescent="0.3">
      <c r="B72" s="48">
        <v>2</v>
      </c>
      <c r="C72" s="48" t="s">
        <v>54</v>
      </c>
      <c r="D72" s="44"/>
      <c r="E72" s="48"/>
      <c r="F72" s="49"/>
      <c r="G72" s="49"/>
      <c r="H72" s="49" t="s">
        <v>7</v>
      </c>
      <c r="I72" s="50">
        <v>20000</v>
      </c>
      <c r="J72" s="51" t="s">
        <v>5</v>
      </c>
      <c r="K72" s="50">
        <v>20000</v>
      </c>
    </row>
    <row r="73" spans="1:11" x14ac:dyDescent="0.3">
      <c r="B73" s="44">
        <v>3</v>
      </c>
      <c r="C73" s="44" t="s">
        <v>55</v>
      </c>
      <c r="E73" s="44"/>
      <c r="H73" s="23" t="s">
        <v>5</v>
      </c>
      <c r="I73" s="20">
        <v>800000</v>
      </c>
      <c r="J73" s="23" t="s">
        <v>14</v>
      </c>
      <c r="K73" s="20">
        <v>1000000</v>
      </c>
    </row>
    <row r="74" spans="1:11" x14ac:dyDescent="0.3">
      <c r="B74" s="21"/>
      <c r="C74" s="21"/>
      <c r="D74" s="21"/>
      <c r="E74" s="47"/>
      <c r="F74" s="21"/>
      <c r="G74" s="21"/>
      <c r="H74" s="21" t="s">
        <v>16</v>
      </c>
      <c r="I74" s="22">
        <v>200000</v>
      </c>
      <c r="J74" s="21"/>
      <c r="K74" s="21"/>
    </row>
    <row r="75" spans="1:11" x14ac:dyDescent="0.3">
      <c r="B75" s="48">
        <v>4</v>
      </c>
      <c r="C75" s="48" t="s">
        <v>56</v>
      </c>
      <c r="D75" s="48"/>
      <c r="E75" s="48"/>
      <c r="F75" s="49"/>
      <c r="G75" s="49"/>
      <c r="H75" s="51" t="s">
        <v>5</v>
      </c>
      <c r="I75" s="50">
        <v>120000</v>
      </c>
      <c r="J75" s="51" t="s">
        <v>21</v>
      </c>
      <c r="K75" s="50">
        <v>120000</v>
      </c>
    </row>
    <row r="76" spans="1:11" x14ac:dyDescent="0.3">
      <c r="B76" s="44">
        <v>5</v>
      </c>
      <c r="C76" s="44" t="s">
        <v>57</v>
      </c>
      <c r="D76" s="44"/>
      <c r="E76" s="45"/>
      <c r="H76" s="23" t="s">
        <v>45</v>
      </c>
      <c r="I76" s="20">
        <v>62000</v>
      </c>
      <c r="J76" s="23" t="s">
        <v>5</v>
      </c>
      <c r="K76" s="20">
        <v>62000</v>
      </c>
    </row>
    <row r="77" spans="1:11" s="46" customFormat="1" x14ac:dyDescent="0.3">
      <c r="A77" s="18"/>
      <c r="B77" s="44">
        <v>6</v>
      </c>
      <c r="C77" s="44" t="s">
        <v>58</v>
      </c>
      <c r="D77" s="44"/>
      <c r="E77" s="45"/>
      <c r="H77" s="52" t="s">
        <v>5</v>
      </c>
      <c r="I77" s="53">
        <v>40000</v>
      </c>
      <c r="J77" s="52" t="s">
        <v>44</v>
      </c>
      <c r="K77" s="53">
        <v>40000</v>
      </c>
    </row>
    <row r="78" spans="1:11" x14ac:dyDescent="0.3">
      <c r="B78" s="45">
        <v>7</v>
      </c>
      <c r="C78" s="45" t="s">
        <v>59</v>
      </c>
      <c r="D78" s="45"/>
      <c r="H78" s="52" t="s">
        <v>36</v>
      </c>
      <c r="I78" s="20">
        <v>24000</v>
      </c>
      <c r="J78" s="52" t="s">
        <v>5</v>
      </c>
      <c r="K78" s="20">
        <v>24000</v>
      </c>
    </row>
    <row r="79" spans="1:11" x14ac:dyDescent="0.3">
      <c r="B79" s="45">
        <v>8</v>
      </c>
      <c r="C79" s="45" t="s">
        <v>60</v>
      </c>
      <c r="D79" s="45"/>
      <c r="H79" s="52" t="s">
        <v>61</v>
      </c>
      <c r="I79" s="20">
        <v>120000</v>
      </c>
      <c r="J79" s="52" t="s">
        <v>5</v>
      </c>
      <c r="K79" s="20">
        <v>120000</v>
      </c>
    </row>
    <row r="82" spans="2:18" x14ac:dyDescent="0.3">
      <c r="B82" s="18" t="s">
        <v>29</v>
      </c>
    </row>
    <row r="85" spans="2:18" x14ac:dyDescent="0.3">
      <c r="B85" s="25" t="s">
        <v>5</v>
      </c>
      <c r="C85" s="25"/>
      <c r="E85" s="25" t="s">
        <v>7</v>
      </c>
      <c r="F85" s="25"/>
      <c r="H85" s="25" t="s">
        <v>16</v>
      </c>
      <c r="I85" s="25"/>
      <c r="K85" s="25" t="s">
        <v>45</v>
      </c>
      <c r="L85" s="25"/>
      <c r="N85" s="25" t="s">
        <v>36</v>
      </c>
      <c r="O85" s="25"/>
      <c r="Q85" s="25" t="s">
        <v>34</v>
      </c>
      <c r="R85" s="25"/>
    </row>
    <row r="86" spans="2:18" x14ac:dyDescent="0.3">
      <c r="B86" s="60">
        <v>216000</v>
      </c>
      <c r="C86" s="59">
        <v>100000</v>
      </c>
      <c r="D86" s="58" t="s">
        <v>63</v>
      </c>
      <c r="E86" s="28">
        <v>20000</v>
      </c>
      <c r="F86" s="57">
        <v>100000</v>
      </c>
      <c r="G86" s="58" t="s">
        <v>63</v>
      </c>
      <c r="H86" s="28">
        <v>200000</v>
      </c>
      <c r="I86" s="20"/>
      <c r="K86" s="28">
        <v>62000</v>
      </c>
      <c r="L86" s="20"/>
      <c r="N86" s="28">
        <v>24000</v>
      </c>
      <c r="O86" s="20"/>
      <c r="Q86" s="27"/>
      <c r="R86" s="20">
        <v>50000</v>
      </c>
    </row>
    <row r="87" spans="2:18" x14ac:dyDescent="0.3">
      <c r="B87" s="29">
        <v>800000</v>
      </c>
      <c r="C87" s="20">
        <v>20000</v>
      </c>
      <c r="E87" s="29"/>
      <c r="F87" s="20">
        <v>150000</v>
      </c>
      <c r="H87" s="29"/>
      <c r="I87" s="20"/>
      <c r="K87" s="29"/>
      <c r="L87" s="20"/>
      <c r="N87" s="29"/>
      <c r="O87" s="20"/>
    </row>
    <row r="88" spans="2:18" x14ac:dyDescent="0.3">
      <c r="B88" s="29">
        <v>120000</v>
      </c>
      <c r="C88" s="20">
        <v>62000</v>
      </c>
      <c r="E88" s="28">
        <f>SUM(E86)</f>
        <v>20000</v>
      </c>
      <c r="F88" s="30">
        <f>SUM(F86:F87)</f>
        <v>250000</v>
      </c>
      <c r="H88" s="56"/>
      <c r="I88" s="20"/>
    </row>
    <row r="89" spans="2:18" x14ac:dyDescent="0.3">
      <c r="B89" s="29">
        <v>40000</v>
      </c>
      <c r="C89" s="20">
        <v>24000</v>
      </c>
      <c r="E89" s="56"/>
      <c r="F89" s="20">
        <f>F88-E88</f>
        <v>230000</v>
      </c>
      <c r="H89" s="56"/>
      <c r="I89" s="20"/>
      <c r="Q89" s="25" t="s">
        <v>35</v>
      </c>
      <c r="R89" s="25"/>
    </row>
    <row r="90" spans="2:18" x14ac:dyDescent="0.3">
      <c r="B90" s="29"/>
      <c r="C90" s="20">
        <v>120000</v>
      </c>
      <c r="E90" s="56"/>
      <c r="F90" s="20"/>
      <c r="H90" s="56"/>
      <c r="I90" s="20"/>
      <c r="K90" s="25" t="s">
        <v>64</v>
      </c>
      <c r="L90" s="25"/>
      <c r="Q90" s="27"/>
      <c r="R90" s="20">
        <v>150000</v>
      </c>
    </row>
    <row r="91" spans="2:18" x14ac:dyDescent="0.3">
      <c r="B91" s="28">
        <f>SUM(B86:B90)</f>
        <v>1176000</v>
      </c>
      <c r="C91" s="30">
        <f>SUM(C86:C90)</f>
        <v>326000</v>
      </c>
      <c r="E91" s="56"/>
      <c r="F91" s="20"/>
      <c r="H91" s="56"/>
      <c r="I91" s="20"/>
      <c r="K91" s="28"/>
      <c r="L91" s="20">
        <v>56000</v>
      </c>
    </row>
    <row r="92" spans="2:18" x14ac:dyDescent="0.3">
      <c r="B92" s="56">
        <f>B91-C91</f>
        <v>850000</v>
      </c>
      <c r="E92" s="56"/>
      <c r="F92" s="20"/>
      <c r="H92" s="56"/>
      <c r="I92" s="20"/>
    </row>
    <row r="93" spans="2:18" x14ac:dyDescent="0.3">
      <c r="C93" s="56"/>
    </row>
    <row r="94" spans="2:18" x14ac:dyDescent="0.3">
      <c r="B94" s="25" t="s">
        <v>4</v>
      </c>
      <c r="C94" s="25"/>
      <c r="E94" s="25" t="s">
        <v>14</v>
      </c>
      <c r="F94" s="25"/>
      <c r="H94" s="25" t="s">
        <v>21</v>
      </c>
      <c r="I94" s="25"/>
      <c r="K94" s="25" t="s">
        <v>44</v>
      </c>
      <c r="L94" s="25"/>
      <c r="N94" s="25" t="s">
        <v>61</v>
      </c>
      <c r="O94" s="25"/>
    </row>
    <row r="95" spans="2:18" x14ac:dyDescent="0.3">
      <c r="B95" s="28">
        <v>250000</v>
      </c>
      <c r="C95" s="20"/>
      <c r="E95" s="28"/>
      <c r="F95" s="20">
        <v>1000000</v>
      </c>
      <c r="G95" s="58" t="s">
        <v>63</v>
      </c>
      <c r="H95" s="60">
        <v>140000</v>
      </c>
      <c r="I95" s="20">
        <v>120000</v>
      </c>
      <c r="K95" s="28"/>
      <c r="L95" s="20">
        <v>40000</v>
      </c>
      <c r="N95" s="28">
        <v>120000</v>
      </c>
      <c r="O95" s="20"/>
    </row>
    <row r="96" spans="2:18" x14ac:dyDescent="0.3">
      <c r="B96" s="29"/>
      <c r="C96" s="20"/>
      <c r="E96" s="29"/>
      <c r="F96" s="20"/>
      <c r="H96" s="28">
        <f>H95-I95</f>
        <v>20000</v>
      </c>
      <c r="I96" s="30"/>
      <c r="K96" s="29"/>
      <c r="L96" s="20"/>
      <c r="N96" s="29"/>
      <c r="O96" s="20"/>
    </row>
    <row r="97" spans="2:15" x14ac:dyDescent="0.3">
      <c r="B97" s="56"/>
      <c r="C97" s="20"/>
      <c r="E97" s="56"/>
      <c r="F97" s="20"/>
      <c r="H97" s="56"/>
      <c r="I97" s="56"/>
      <c r="K97" s="56"/>
      <c r="L97" s="20"/>
      <c r="N97" s="56"/>
      <c r="O97" s="20"/>
    </row>
    <row r="98" spans="2:15" x14ac:dyDescent="0.3">
      <c r="B98" s="56"/>
      <c r="C98" s="20"/>
      <c r="E98" s="56"/>
      <c r="F98" s="20"/>
      <c r="H98" s="56"/>
      <c r="I98" s="56"/>
      <c r="K98" s="56"/>
      <c r="L98" s="20"/>
      <c r="N98" s="56"/>
      <c r="O98" s="20"/>
    </row>
    <row r="99" spans="2:15" x14ac:dyDescent="0.3">
      <c r="B99" s="18" t="s">
        <v>30</v>
      </c>
      <c r="E99" s="56"/>
      <c r="F99" s="20"/>
      <c r="H99" s="56"/>
      <c r="I99" s="56"/>
      <c r="K99" s="56"/>
      <c r="L99" s="20"/>
      <c r="N99" s="56"/>
      <c r="O99" s="20"/>
    </row>
    <row r="100" spans="2:15" x14ac:dyDescent="0.3">
      <c r="B100" s="26" t="s">
        <v>37</v>
      </c>
      <c r="C100" s="26"/>
      <c r="D100" s="26"/>
      <c r="E100" s="56"/>
      <c r="F100" s="20"/>
      <c r="H100" s="56"/>
      <c r="I100" s="56"/>
      <c r="K100" s="56"/>
      <c r="L100" s="20"/>
      <c r="N100" s="56"/>
      <c r="O100" s="20"/>
    </row>
    <row r="101" spans="2:15" ht="16.2" x14ac:dyDescent="0.45">
      <c r="B101" s="2" t="s">
        <v>0</v>
      </c>
      <c r="C101" s="2" t="s">
        <v>38</v>
      </c>
      <c r="D101" s="2" t="s">
        <v>39</v>
      </c>
      <c r="E101" s="56"/>
      <c r="F101" s="20"/>
      <c r="H101" s="56"/>
      <c r="I101" s="56"/>
      <c r="K101" s="56"/>
      <c r="L101" s="20"/>
      <c r="N101" s="56"/>
      <c r="O101" s="20"/>
    </row>
    <row r="102" spans="2:15" x14ac:dyDescent="0.3">
      <c r="B102" s="56" t="s">
        <v>5</v>
      </c>
      <c r="C102" s="20">
        <v>850000</v>
      </c>
      <c r="E102" s="56"/>
      <c r="F102" s="20"/>
      <c r="H102" s="56"/>
      <c r="I102" s="56"/>
      <c r="K102" s="56"/>
      <c r="L102" s="20"/>
      <c r="N102" s="56"/>
      <c r="O102" s="20"/>
    </row>
    <row r="103" spans="2:15" x14ac:dyDescent="0.3">
      <c r="B103" s="56" t="s">
        <v>4</v>
      </c>
      <c r="C103" s="20">
        <v>250000</v>
      </c>
      <c r="E103" s="56"/>
      <c r="F103" s="20"/>
      <c r="H103" s="56"/>
      <c r="I103" s="56"/>
      <c r="K103" s="56"/>
      <c r="L103" s="20"/>
      <c r="N103" s="56"/>
      <c r="O103" s="20"/>
    </row>
    <row r="104" spans="2:15" x14ac:dyDescent="0.3">
      <c r="B104" s="56" t="s">
        <v>7</v>
      </c>
      <c r="C104" s="20"/>
      <c r="D104" s="20">
        <v>230000</v>
      </c>
      <c r="E104" s="56"/>
      <c r="F104" s="20"/>
      <c r="H104" s="56"/>
      <c r="I104" s="56"/>
      <c r="K104" s="56"/>
      <c r="L104" s="20"/>
      <c r="N104" s="56"/>
      <c r="O104" s="20"/>
    </row>
    <row r="105" spans="2:15" x14ac:dyDescent="0.3">
      <c r="B105" s="56" t="s">
        <v>14</v>
      </c>
      <c r="C105" s="20"/>
      <c r="D105" s="20">
        <v>1000000</v>
      </c>
      <c r="E105" s="56"/>
      <c r="F105" s="20"/>
      <c r="H105" s="56"/>
      <c r="I105" s="56"/>
      <c r="K105" s="56"/>
      <c r="L105" s="20"/>
      <c r="N105" s="56"/>
      <c r="O105" s="20"/>
    </row>
    <row r="106" spans="2:15" x14ac:dyDescent="0.3">
      <c r="B106" s="56" t="s">
        <v>16</v>
      </c>
      <c r="C106" s="20">
        <v>200000</v>
      </c>
      <c r="E106" s="56"/>
      <c r="F106" s="20"/>
      <c r="H106" s="56"/>
      <c r="I106" s="56"/>
      <c r="K106" s="56"/>
      <c r="L106" s="20"/>
      <c r="N106" s="56"/>
      <c r="O106" s="20"/>
    </row>
    <row r="107" spans="2:15" x14ac:dyDescent="0.3">
      <c r="B107" s="56" t="s">
        <v>21</v>
      </c>
      <c r="C107" s="20">
        <v>20000</v>
      </c>
      <c r="E107" s="56"/>
      <c r="F107" s="20"/>
      <c r="H107" s="56"/>
      <c r="I107" s="56"/>
      <c r="K107" s="56"/>
      <c r="L107" s="20"/>
      <c r="N107" s="56"/>
      <c r="O107" s="20"/>
    </row>
    <row r="108" spans="2:15" x14ac:dyDescent="0.3">
      <c r="B108" s="61" t="s">
        <v>45</v>
      </c>
      <c r="C108" s="20">
        <v>62000</v>
      </c>
    </row>
    <row r="109" spans="2:15" x14ac:dyDescent="0.3">
      <c r="B109" s="61" t="s">
        <v>64</v>
      </c>
      <c r="C109" s="20"/>
      <c r="D109" s="20">
        <v>56000</v>
      </c>
    </row>
    <row r="110" spans="2:15" x14ac:dyDescent="0.3">
      <c r="B110" s="61" t="s">
        <v>44</v>
      </c>
      <c r="C110" s="20"/>
      <c r="D110" s="20">
        <v>40000</v>
      </c>
    </row>
    <row r="111" spans="2:15" x14ac:dyDescent="0.3">
      <c r="B111" s="61" t="s">
        <v>40</v>
      </c>
      <c r="C111" s="20">
        <v>24000</v>
      </c>
    </row>
    <row r="112" spans="2:15" x14ac:dyDescent="0.3">
      <c r="B112" s="61" t="s">
        <v>50</v>
      </c>
      <c r="C112" s="20">
        <v>120000</v>
      </c>
    </row>
    <row r="113" spans="2:10" x14ac:dyDescent="0.3">
      <c r="B113" s="61" t="s">
        <v>34</v>
      </c>
      <c r="C113" s="20"/>
      <c r="D113" s="20">
        <v>50000</v>
      </c>
    </row>
    <row r="114" spans="2:10" x14ac:dyDescent="0.3">
      <c r="B114" s="61" t="s">
        <v>35</v>
      </c>
      <c r="C114" s="20"/>
      <c r="D114" s="20">
        <v>150000</v>
      </c>
    </row>
    <row r="115" spans="2:10" x14ac:dyDescent="0.3">
      <c r="B115" s="61"/>
      <c r="C115" s="30">
        <f>SUM(C102:C113)</f>
        <v>1526000</v>
      </c>
      <c r="D115" s="30">
        <f>SUM(D102:D114)</f>
        <v>1526000</v>
      </c>
    </row>
    <row r="117" spans="2:10" x14ac:dyDescent="0.3">
      <c r="B117" s="54" t="s">
        <v>41</v>
      </c>
      <c r="C117" s="54"/>
      <c r="D117" s="54"/>
      <c r="E117" s="54"/>
      <c r="F117" s="54"/>
      <c r="H117" s="55" t="s">
        <v>49</v>
      </c>
      <c r="I117" s="37"/>
      <c r="J117" s="37"/>
    </row>
    <row r="118" spans="2:10" x14ac:dyDescent="0.3">
      <c r="B118" s="26" t="s">
        <v>42</v>
      </c>
      <c r="C118" s="6"/>
      <c r="D118" s="32"/>
      <c r="E118" s="26" t="s">
        <v>43</v>
      </c>
      <c r="F118" s="3"/>
      <c r="H118" s="38" t="s">
        <v>14</v>
      </c>
      <c r="I118" s="6"/>
      <c r="J118" s="6">
        <v>1000000</v>
      </c>
    </row>
    <row r="119" spans="2:10" x14ac:dyDescent="0.3">
      <c r="B119" s="10" t="s">
        <v>5</v>
      </c>
      <c r="C119" s="3">
        <v>850000</v>
      </c>
      <c r="D119" s="32"/>
      <c r="E119" s="3" t="s">
        <v>7</v>
      </c>
      <c r="F119" s="3">
        <v>230000</v>
      </c>
      <c r="H119" s="39" t="s">
        <v>4</v>
      </c>
      <c r="I119" s="39"/>
      <c r="J119" s="6">
        <v>-250000</v>
      </c>
    </row>
    <row r="120" spans="2:10" x14ac:dyDescent="0.3">
      <c r="B120" s="10" t="s">
        <v>21</v>
      </c>
      <c r="C120" s="3">
        <v>20000</v>
      </c>
      <c r="D120" s="32"/>
      <c r="E120" s="3" t="s">
        <v>44</v>
      </c>
      <c r="F120" s="3">
        <v>40000</v>
      </c>
      <c r="H120" s="6" t="s">
        <v>40</v>
      </c>
      <c r="I120" s="6"/>
      <c r="J120" s="6">
        <v>-24000</v>
      </c>
    </row>
    <row r="121" spans="2:10" x14ac:dyDescent="0.3">
      <c r="B121" s="10" t="s">
        <v>16</v>
      </c>
      <c r="C121" s="3">
        <v>200000</v>
      </c>
      <c r="D121" s="32"/>
      <c r="E121" s="3"/>
      <c r="F121" s="3"/>
      <c r="H121" s="6" t="s">
        <v>50</v>
      </c>
      <c r="I121" s="6"/>
      <c r="J121" s="6">
        <v>-120000</v>
      </c>
    </row>
    <row r="122" spans="2:10" x14ac:dyDescent="0.3">
      <c r="B122" s="6" t="s">
        <v>45</v>
      </c>
      <c r="C122" s="3">
        <v>62000</v>
      </c>
      <c r="D122" s="32"/>
      <c r="E122" s="6"/>
      <c r="F122" s="26" t="s">
        <v>46</v>
      </c>
      <c r="H122" s="6" t="s">
        <v>51</v>
      </c>
      <c r="I122" s="6"/>
      <c r="J122" s="40">
        <f>SUM(J118:J121)</f>
        <v>606000</v>
      </c>
    </row>
    <row r="123" spans="2:10" x14ac:dyDescent="0.3">
      <c r="B123" s="10"/>
      <c r="C123" s="3"/>
      <c r="D123" s="32"/>
      <c r="E123" s="6" t="s">
        <v>34</v>
      </c>
      <c r="F123" s="3">
        <v>50000</v>
      </c>
    </row>
    <row r="124" spans="2:10" x14ac:dyDescent="0.3">
      <c r="B124" s="33"/>
      <c r="C124" s="3"/>
      <c r="D124" s="32"/>
      <c r="E124" s="6" t="s">
        <v>35</v>
      </c>
      <c r="F124" s="3">
        <v>150000</v>
      </c>
    </row>
    <row r="125" spans="2:10" x14ac:dyDescent="0.3">
      <c r="B125" s="10"/>
      <c r="C125" s="3"/>
      <c r="D125" s="32"/>
      <c r="E125" s="34" t="s">
        <v>47</v>
      </c>
      <c r="F125" s="35">
        <f>C127-F124-F123-F120-F119</f>
        <v>662000</v>
      </c>
    </row>
    <row r="126" spans="2:10" x14ac:dyDescent="0.3">
      <c r="B126" s="10"/>
      <c r="C126" s="3"/>
      <c r="D126" s="32"/>
      <c r="E126" s="6"/>
      <c r="F126" s="6"/>
    </row>
    <row r="127" spans="2:10" x14ac:dyDescent="0.3">
      <c r="B127" s="10"/>
      <c r="C127" s="36">
        <f>SUM(C119:C122)</f>
        <v>1132000</v>
      </c>
      <c r="D127" s="32"/>
      <c r="E127" s="6"/>
      <c r="F127" s="36">
        <f>SUM(F119:F120,F123:F125)</f>
        <v>1132000</v>
      </c>
    </row>
    <row r="130" spans="1:11" x14ac:dyDescent="0.3">
      <c r="A130" s="18">
        <v>4</v>
      </c>
      <c r="B130" s="15" t="s">
        <v>65</v>
      </c>
      <c r="C130" s="14"/>
      <c r="D130" s="15"/>
    </row>
    <row r="131" spans="1:11" ht="16.2" x14ac:dyDescent="0.45">
      <c r="B131" s="18" t="s">
        <v>62</v>
      </c>
      <c r="H131" s="2" t="s">
        <v>1</v>
      </c>
      <c r="I131" s="3"/>
      <c r="J131" s="4" t="s">
        <v>2</v>
      </c>
    </row>
    <row r="132" spans="1:11" x14ac:dyDescent="0.3">
      <c r="B132" s="10">
        <v>1</v>
      </c>
      <c r="C132" s="10" t="s">
        <v>66</v>
      </c>
      <c r="D132" s="10"/>
      <c r="E132" s="10"/>
      <c r="F132" s="10"/>
      <c r="H132" t="s">
        <v>4</v>
      </c>
      <c r="I132" s="20">
        <v>350000</v>
      </c>
      <c r="J132" t="s">
        <v>9</v>
      </c>
      <c r="K132" s="20">
        <v>100000</v>
      </c>
    </row>
    <row r="133" spans="1:11" x14ac:dyDescent="0.3">
      <c r="B133" s="62"/>
      <c r="C133" s="62"/>
      <c r="D133" s="62"/>
      <c r="E133" s="62"/>
      <c r="F133" s="62"/>
      <c r="G133" s="21"/>
      <c r="H133" s="21"/>
      <c r="I133" s="21"/>
      <c r="J133" s="21" t="s">
        <v>7</v>
      </c>
      <c r="K133" s="22">
        <v>250000</v>
      </c>
    </row>
    <row r="134" spans="1:11" x14ac:dyDescent="0.3">
      <c r="B134" s="63">
        <v>2</v>
      </c>
      <c r="C134" s="63" t="s">
        <v>67</v>
      </c>
      <c r="D134" s="63"/>
      <c r="E134" s="63"/>
      <c r="F134" s="63"/>
      <c r="G134" s="49"/>
      <c r="H134" s="49" t="s">
        <v>7</v>
      </c>
      <c r="I134" s="50">
        <v>60000</v>
      </c>
      <c r="J134" s="49" t="s">
        <v>5</v>
      </c>
      <c r="K134" s="50">
        <v>60000</v>
      </c>
    </row>
    <row r="135" spans="1:11" x14ac:dyDescent="0.3">
      <c r="B135" s="10">
        <v>3</v>
      </c>
      <c r="C135" s="64" t="s">
        <v>68</v>
      </c>
      <c r="D135" s="64"/>
      <c r="E135" s="64"/>
      <c r="F135" s="10"/>
      <c r="H135" s="23" t="s">
        <v>16</v>
      </c>
      <c r="I135" s="20">
        <v>180000</v>
      </c>
      <c r="J135" s="71" t="s">
        <v>14</v>
      </c>
      <c r="K135" s="67">
        <v>1120000</v>
      </c>
    </row>
    <row r="136" spans="1:11" x14ac:dyDescent="0.3">
      <c r="B136" s="10"/>
      <c r="C136" s="65"/>
      <c r="D136" s="65"/>
      <c r="E136" s="65"/>
      <c r="F136" s="10"/>
      <c r="H136" s="23" t="s">
        <v>21</v>
      </c>
      <c r="I136" s="20">
        <v>200000</v>
      </c>
      <c r="J136" s="70"/>
      <c r="K136" s="68"/>
    </row>
    <row r="137" spans="1:11" x14ac:dyDescent="0.3">
      <c r="B137" s="62"/>
      <c r="C137" s="66"/>
      <c r="D137" s="66"/>
      <c r="E137" s="66"/>
      <c r="F137" s="62"/>
      <c r="G137" s="21"/>
      <c r="H137" s="21" t="s">
        <v>5</v>
      </c>
      <c r="I137" s="22">
        <f>K135-I135-I136</f>
        <v>740000</v>
      </c>
      <c r="J137" s="72"/>
      <c r="K137" s="69"/>
    </row>
    <row r="138" spans="1:11" x14ac:dyDescent="0.3">
      <c r="B138" s="63">
        <v>4</v>
      </c>
      <c r="C138" s="63" t="s">
        <v>69</v>
      </c>
      <c r="D138" s="63"/>
      <c r="E138" s="63"/>
      <c r="F138" s="63"/>
      <c r="G138" s="49"/>
      <c r="H138" s="49" t="s">
        <v>16</v>
      </c>
      <c r="I138" s="50">
        <v>146000</v>
      </c>
      <c r="J138" s="49" t="s">
        <v>21</v>
      </c>
      <c r="K138" s="22">
        <v>146000</v>
      </c>
    </row>
    <row r="139" spans="1:11" x14ac:dyDescent="0.3">
      <c r="B139" s="63">
        <v>5</v>
      </c>
      <c r="C139" s="63" t="s">
        <v>70</v>
      </c>
      <c r="D139" s="63"/>
      <c r="E139" s="63"/>
      <c r="F139" s="63"/>
      <c r="G139" s="49"/>
      <c r="H139" s="49" t="s">
        <v>76</v>
      </c>
      <c r="I139" s="50">
        <v>5000</v>
      </c>
      <c r="J139" s="49" t="s">
        <v>5</v>
      </c>
      <c r="K139" s="22">
        <v>5000</v>
      </c>
    </row>
    <row r="140" spans="1:11" x14ac:dyDescent="0.3">
      <c r="B140" s="10">
        <v>6</v>
      </c>
      <c r="C140" s="10" t="s">
        <v>71</v>
      </c>
      <c r="D140" s="10"/>
      <c r="E140" s="10"/>
      <c r="F140" s="10"/>
      <c r="H140" s="23" t="s">
        <v>44</v>
      </c>
      <c r="I140" s="20">
        <v>10000</v>
      </c>
      <c r="J140" s="71" t="s">
        <v>5</v>
      </c>
      <c r="K140" s="67">
        <v>12000</v>
      </c>
    </row>
    <row r="141" spans="1:11" x14ac:dyDescent="0.3">
      <c r="B141" s="62"/>
      <c r="C141" s="62"/>
      <c r="D141" s="62"/>
      <c r="E141" s="62"/>
      <c r="F141" s="62"/>
      <c r="G141" s="21"/>
      <c r="H141" s="21" t="s">
        <v>77</v>
      </c>
      <c r="I141" s="22">
        <v>2000</v>
      </c>
      <c r="J141" s="72"/>
      <c r="K141" s="69"/>
    </row>
    <row r="142" spans="1:11" x14ac:dyDescent="0.3">
      <c r="B142" s="63">
        <v>7</v>
      </c>
      <c r="C142" s="63" t="s">
        <v>72</v>
      </c>
      <c r="D142" s="63"/>
      <c r="E142" s="63"/>
      <c r="F142" s="63"/>
      <c r="G142" s="49"/>
      <c r="H142" s="49" t="s">
        <v>50</v>
      </c>
      <c r="I142" s="50">
        <v>30000</v>
      </c>
      <c r="J142" s="49" t="s">
        <v>5</v>
      </c>
      <c r="K142" s="22">
        <v>30000</v>
      </c>
    </row>
    <row r="143" spans="1:11" x14ac:dyDescent="0.3">
      <c r="B143" s="63">
        <v>8</v>
      </c>
      <c r="C143" s="63" t="s">
        <v>73</v>
      </c>
      <c r="D143" s="63"/>
      <c r="E143" s="63"/>
      <c r="F143" s="63"/>
      <c r="G143" s="49"/>
      <c r="H143" s="49" t="s">
        <v>40</v>
      </c>
      <c r="I143" s="50">
        <v>96000</v>
      </c>
      <c r="J143" s="49" t="s">
        <v>5</v>
      </c>
      <c r="K143" s="22">
        <v>96000</v>
      </c>
    </row>
    <row r="144" spans="1:11" x14ac:dyDescent="0.3">
      <c r="B144" s="63">
        <v>9</v>
      </c>
      <c r="C144" s="63" t="s">
        <v>74</v>
      </c>
      <c r="D144" s="63"/>
      <c r="E144" s="63"/>
      <c r="F144" s="63"/>
      <c r="G144" s="49"/>
      <c r="H144" s="49" t="s">
        <v>78</v>
      </c>
      <c r="I144" s="50">
        <v>40000</v>
      </c>
      <c r="J144" s="49" t="s">
        <v>5</v>
      </c>
      <c r="K144" s="22">
        <v>40000</v>
      </c>
    </row>
    <row r="145" spans="2:15" x14ac:dyDescent="0.3">
      <c r="B145" s="63">
        <v>10</v>
      </c>
      <c r="C145" s="63" t="s">
        <v>75</v>
      </c>
      <c r="D145" s="63"/>
      <c r="E145" s="63"/>
      <c r="F145" s="63"/>
      <c r="G145" s="49"/>
      <c r="H145" s="49" t="s">
        <v>5</v>
      </c>
      <c r="I145" s="50">
        <v>24000</v>
      </c>
      <c r="J145" s="49" t="s">
        <v>16</v>
      </c>
      <c r="K145" s="22">
        <v>24000</v>
      </c>
    </row>
    <row r="147" spans="2:15" x14ac:dyDescent="0.3">
      <c r="B147" s="18" t="s">
        <v>29</v>
      </c>
    </row>
    <row r="149" spans="2:15" x14ac:dyDescent="0.3">
      <c r="B149" s="25" t="s">
        <v>5</v>
      </c>
      <c r="C149" s="25"/>
      <c r="E149" s="25" t="s">
        <v>4</v>
      </c>
      <c r="F149" s="25"/>
      <c r="H149" s="25" t="s">
        <v>9</v>
      </c>
      <c r="I149" s="25"/>
      <c r="K149" s="25" t="s">
        <v>7</v>
      </c>
      <c r="L149" s="25"/>
      <c r="N149" s="25" t="s">
        <v>21</v>
      </c>
      <c r="O149" s="25"/>
    </row>
    <row r="150" spans="2:15" x14ac:dyDescent="0.3">
      <c r="B150" s="73">
        <v>850000</v>
      </c>
      <c r="C150" s="20">
        <v>60000</v>
      </c>
      <c r="E150" s="29">
        <v>350000</v>
      </c>
      <c r="H150" s="74"/>
      <c r="I150" s="20">
        <v>100000</v>
      </c>
      <c r="K150" s="29">
        <v>60000</v>
      </c>
      <c r="L150" s="57">
        <v>230000</v>
      </c>
      <c r="N150" s="73">
        <v>20000</v>
      </c>
      <c r="O150" s="20">
        <v>146000</v>
      </c>
    </row>
    <row r="151" spans="2:15" x14ac:dyDescent="0.3">
      <c r="B151" s="29">
        <v>740000</v>
      </c>
      <c r="C151" s="20">
        <v>5000</v>
      </c>
      <c r="K151" s="74"/>
      <c r="L151" s="20">
        <v>250000</v>
      </c>
      <c r="N151" s="29">
        <v>200000</v>
      </c>
    </row>
    <row r="152" spans="2:15" x14ac:dyDescent="0.3">
      <c r="B152" s="29">
        <v>24000</v>
      </c>
      <c r="C152" s="20">
        <v>12000</v>
      </c>
      <c r="K152" s="28">
        <f>K150</f>
        <v>60000</v>
      </c>
      <c r="L152" s="30">
        <f>L151+L150</f>
        <v>480000</v>
      </c>
      <c r="N152" s="28">
        <f>N150+N151</f>
        <v>220000</v>
      </c>
      <c r="O152" s="30">
        <f>O150</f>
        <v>146000</v>
      </c>
    </row>
    <row r="153" spans="2:15" x14ac:dyDescent="0.3">
      <c r="B153" s="74"/>
      <c r="C153" s="20">
        <v>30000</v>
      </c>
      <c r="L153" s="20">
        <f>L152-K152</f>
        <v>420000</v>
      </c>
      <c r="N153" s="20">
        <f>N152-O152</f>
        <v>74000</v>
      </c>
    </row>
    <row r="154" spans="2:15" x14ac:dyDescent="0.3">
      <c r="B154" s="74"/>
      <c r="C154" s="20">
        <v>96000</v>
      </c>
      <c r="E154" s="25" t="s">
        <v>45</v>
      </c>
      <c r="F154" s="25"/>
    </row>
    <row r="155" spans="2:15" x14ac:dyDescent="0.3">
      <c r="B155" s="74"/>
      <c r="C155" s="20">
        <v>40000</v>
      </c>
      <c r="E155" s="60">
        <v>62000</v>
      </c>
    </row>
    <row r="156" spans="2:15" x14ac:dyDescent="0.3">
      <c r="B156" s="28">
        <f>B150+B151+B152</f>
        <v>1614000</v>
      </c>
      <c r="C156" s="30">
        <f>C150+C151+C152+C153+C154+C155</f>
        <v>243000</v>
      </c>
    </row>
    <row r="157" spans="2:15" x14ac:dyDescent="0.3">
      <c r="B157" s="20">
        <f>B156-C156</f>
        <v>1371000</v>
      </c>
    </row>
    <row r="158" spans="2:15" x14ac:dyDescent="0.3">
      <c r="B158" s="20"/>
    </row>
    <row r="159" spans="2:15" x14ac:dyDescent="0.3">
      <c r="B159" s="25" t="s">
        <v>76</v>
      </c>
      <c r="C159" s="25"/>
      <c r="E159" s="25" t="s">
        <v>14</v>
      </c>
      <c r="F159" s="25"/>
      <c r="H159" s="25" t="s">
        <v>16</v>
      </c>
      <c r="I159" s="25"/>
      <c r="K159" s="25" t="s">
        <v>44</v>
      </c>
      <c r="L159" s="25"/>
      <c r="N159" s="25" t="s">
        <v>77</v>
      </c>
      <c r="O159" s="25"/>
    </row>
    <row r="160" spans="2:15" x14ac:dyDescent="0.3">
      <c r="B160" s="28">
        <v>5000</v>
      </c>
      <c r="E160" s="27"/>
      <c r="F160" s="20">
        <v>1120000</v>
      </c>
      <c r="H160" s="73">
        <v>200000</v>
      </c>
      <c r="I160" s="20">
        <v>24000</v>
      </c>
      <c r="K160" s="29">
        <v>10000</v>
      </c>
      <c r="L160" s="57">
        <v>40000</v>
      </c>
      <c r="N160" s="28">
        <v>2000</v>
      </c>
    </row>
    <row r="161" spans="2:15" x14ac:dyDescent="0.3">
      <c r="H161" s="29">
        <v>180000</v>
      </c>
      <c r="K161" s="27"/>
      <c r="L161" s="30">
        <f>L160-K160</f>
        <v>30000</v>
      </c>
    </row>
    <row r="162" spans="2:15" x14ac:dyDescent="0.3">
      <c r="H162" s="29">
        <v>146000</v>
      </c>
    </row>
    <row r="163" spans="2:15" x14ac:dyDescent="0.3">
      <c r="H163" s="28">
        <f>H160+H161+H162</f>
        <v>526000</v>
      </c>
      <c r="I163" s="30">
        <f>I160</f>
        <v>24000</v>
      </c>
      <c r="N163" s="25" t="s">
        <v>34</v>
      </c>
      <c r="O163" s="25"/>
    </row>
    <row r="164" spans="2:15" x14ac:dyDescent="0.3">
      <c r="H164" s="20">
        <f>H163-I163</f>
        <v>502000</v>
      </c>
      <c r="N164" s="27"/>
      <c r="O164" s="20">
        <v>50000</v>
      </c>
    </row>
    <row r="166" spans="2:15" x14ac:dyDescent="0.3">
      <c r="B166" s="25" t="s">
        <v>50</v>
      </c>
      <c r="C166" s="25"/>
      <c r="E166" s="25" t="s">
        <v>40</v>
      </c>
      <c r="F166" s="25"/>
      <c r="H166" s="25" t="s">
        <v>78</v>
      </c>
      <c r="I166" s="25"/>
      <c r="K166" s="25" t="s">
        <v>64</v>
      </c>
      <c r="L166" s="25"/>
    </row>
    <row r="167" spans="2:15" x14ac:dyDescent="0.3">
      <c r="B167" s="28">
        <v>30000</v>
      </c>
      <c r="E167" s="27">
        <v>96000</v>
      </c>
      <c r="H167" s="28">
        <v>40000</v>
      </c>
      <c r="K167" s="27"/>
      <c r="L167" s="57">
        <v>662000</v>
      </c>
      <c r="N167" s="25" t="s">
        <v>35</v>
      </c>
      <c r="O167" s="25"/>
    </row>
    <row r="168" spans="2:15" x14ac:dyDescent="0.3">
      <c r="N168" s="27"/>
      <c r="O168" s="20">
        <v>150000</v>
      </c>
    </row>
    <row r="170" spans="2:15" x14ac:dyDescent="0.3">
      <c r="B170" s="18" t="s">
        <v>30</v>
      </c>
    </row>
    <row r="171" spans="2:15" x14ac:dyDescent="0.3">
      <c r="B171" s="26" t="s">
        <v>37</v>
      </c>
      <c r="C171" s="26"/>
      <c r="D171" s="26"/>
    </row>
    <row r="172" spans="2:15" ht="16.2" x14ac:dyDescent="0.45">
      <c r="B172" s="2" t="s">
        <v>0</v>
      </c>
      <c r="C172" s="2" t="s">
        <v>38</v>
      </c>
      <c r="D172" s="2" t="s">
        <v>39</v>
      </c>
    </row>
    <row r="173" spans="2:15" x14ac:dyDescent="0.3">
      <c r="B173" t="s">
        <v>5</v>
      </c>
      <c r="C173" s="20">
        <f>B157</f>
        <v>1371000</v>
      </c>
    </row>
    <row r="174" spans="2:15" x14ac:dyDescent="0.3">
      <c r="B174" t="s">
        <v>76</v>
      </c>
      <c r="C174" s="20">
        <f>B160</f>
        <v>5000</v>
      </c>
    </row>
    <row r="175" spans="2:15" x14ac:dyDescent="0.3">
      <c r="B175" t="s">
        <v>50</v>
      </c>
      <c r="C175" s="20">
        <f>B167</f>
        <v>30000</v>
      </c>
    </row>
    <row r="176" spans="2:15" x14ac:dyDescent="0.3">
      <c r="B176" t="s">
        <v>40</v>
      </c>
      <c r="C176">
        <f>E167</f>
        <v>96000</v>
      </c>
    </row>
    <row r="177" spans="2:6" x14ac:dyDescent="0.3">
      <c r="B177" t="s">
        <v>14</v>
      </c>
      <c r="D177" s="20">
        <f>F160</f>
        <v>1120000</v>
      </c>
    </row>
    <row r="178" spans="2:6" x14ac:dyDescent="0.3">
      <c r="B178" t="s">
        <v>4</v>
      </c>
      <c r="C178" s="20">
        <f>E150</f>
        <v>350000</v>
      </c>
    </row>
    <row r="179" spans="2:6" x14ac:dyDescent="0.3">
      <c r="B179" t="s">
        <v>9</v>
      </c>
      <c r="D179" s="20">
        <f>I150</f>
        <v>100000</v>
      </c>
    </row>
    <row r="180" spans="2:6" x14ac:dyDescent="0.3">
      <c r="B180" t="s">
        <v>16</v>
      </c>
      <c r="C180" s="20">
        <f>H164</f>
        <v>502000</v>
      </c>
    </row>
    <row r="181" spans="2:6" x14ac:dyDescent="0.3">
      <c r="B181" t="s">
        <v>78</v>
      </c>
      <c r="C181" s="20">
        <f>H167</f>
        <v>40000</v>
      </c>
    </row>
    <row r="182" spans="2:6" x14ac:dyDescent="0.3">
      <c r="B182" t="s">
        <v>64</v>
      </c>
      <c r="D182" s="20">
        <f>L167</f>
        <v>662000</v>
      </c>
    </row>
    <row r="183" spans="2:6" x14ac:dyDescent="0.3">
      <c r="B183" t="s">
        <v>44</v>
      </c>
      <c r="D183" s="20">
        <f>L161</f>
        <v>30000</v>
      </c>
    </row>
    <row r="184" spans="2:6" x14ac:dyDescent="0.3">
      <c r="B184" t="s">
        <v>7</v>
      </c>
      <c r="D184" s="20">
        <f>L153</f>
        <v>420000</v>
      </c>
    </row>
    <row r="185" spans="2:6" x14ac:dyDescent="0.3">
      <c r="B185" t="s">
        <v>21</v>
      </c>
      <c r="C185" s="20">
        <f>N153</f>
        <v>74000</v>
      </c>
    </row>
    <row r="186" spans="2:6" x14ac:dyDescent="0.3">
      <c r="B186" t="s">
        <v>77</v>
      </c>
      <c r="C186" s="20">
        <f>N160</f>
        <v>2000</v>
      </c>
    </row>
    <row r="187" spans="2:6" x14ac:dyDescent="0.3">
      <c r="B187" t="s">
        <v>45</v>
      </c>
      <c r="C187" s="20">
        <v>62000</v>
      </c>
    </row>
    <row r="188" spans="2:6" x14ac:dyDescent="0.3">
      <c r="B188" t="s">
        <v>34</v>
      </c>
      <c r="D188" s="20">
        <f>O164</f>
        <v>50000</v>
      </c>
    </row>
    <row r="189" spans="2:6" x14ac:dyDescent="0.3">
      <c r="B189" t="s">
        <v>35</v>
      </c>
      <c r="D189" s="20">
        <f>O168</f>
        <v>150000</v>
      </c>
    </row>
    <row r="190" spans="2:6" x14ac:dyDescent="0.3">
      <c r="C190" s="30">
        <f>SUM(C173:C188)</f>
        <v>2532000</v>
      </c>
      <c r="D190" s="75">
        <f>SUM(D173:D189)</f>
        <v>2532000</v>
      </c>
      <c r="F190" s="20"/>
    </row>
    <row r="194" spans="2:10" x14ac:dyDescent="0.3">
      <c r="B194" s="54" t="s">
        <v>79</v>
      </c>
      <c r="C194" s="54"/>
      <c r="D194" s="54"/>
      <c r="E194" s="54"/>
      <c r="F194" s="54"/>
      <c r="H194" s="55" t="s">
        <v>49</v>
      </c>
      <c r="I194" s="37"/>
      <c r="J194" s="37"/>
    </row>
    <row r="195" spans="2:10" x14ac:dyDescent="0.3">
      <c r="B195" s="26" t="s">
        <v>42</v>
      </c>
      <c r="C195" s="6"/>
      <c r="D195" s="32"/>
      <c r="E195" s="26" t="s">
        <v>43</v>
      </c>
      <c r="F195" s="3"/>
      <c r="H195" s="38" t="s">
        <v>14</v>
      </c>
      <c r="I195" s="6"/>
      <c r="J195" s="6">
        <f>D177</f>
        <v>1120000</v>
      </c>
    </row>
    <row r="196" spans="2:10" x14ac:dyDescent="0.3">
      <c r="B196" s="10" t="s">
        <v>5</v>
      </c>
      <c r="C196" s="3">
        <f>C173</f>
        <v>1371000</v>
      </c>
      <c r="D196" s="32"/>
      <c r="E196" s="3" t="s">
        <v>7</v>
      </c>
      <c r="F196" s="3">
        <f>D184</f>
        <v>420000</v>
      </c>
      <c r="H196" s="39" t="s">
        <v>4</v>
      </c>
      <c r="I196" s="39"/>
      <c r="J196" s="6">
        <f>-C178</f>
        <v>-350000</v>
      </c>
    </row>
    <row r="197" spans="2:10" x14ac:dyDescent="0.3">
      <c r="B197" s="10" t="s">
        <v>21</v>
      </c>
      <c r="C197" s="3">
        <f>C185</f>
        <v>74000</v>
      </c>
      <c r="D197" s="32"/>
      <c r="E197" s="3" t="s">
        <v>44</v>
      </c>
      <c r="F197" s="3">
        <f>D183</f>
        <v>30000</v>
      </c>
      <c r="H197" s="6" t="s">
        <v>40</v>
      </c>
      <c r="I197" s="6"/>
      <c r="J197" s="6">
        <f>-C176</f>
        <v>-96000</v>
      </c>
    </row>
    <row r="198" spans="2:10" x14ac:dyDescent="0.3">
      <c r="B198" s="10" t="s">
        <v>16</v>
      </c>
      <c r="C198" s="3">
        <f>C180</f>
        <v>502000</v>
      </c>
      <c r="D198" s="32"/>
      <c r="E198" s="3" t="s">
        <v>9</v>
      </c>
      <c r="F198" s="3">
        <f>D179</f>
        <v>100000</v>
      </c>
      <c r="H198" s="6" t="s">
        <v>50</v>
      </c>
      <c r="I198" s="6"/>
      <c r="J198" s="6">
        <f>-C175</f>
        <v>-30000</v>
      </c>
    </row>
    <row r="199" spans="2:10" x14ac:dyDescent="0.3">
      <c r="B199" s="6" t="s">
        <v>45</v>
      </c>
      <c r="C199" s="3">
        <f>C187</f>
        <v>62000</v>
      </c>
      <c r="D199" s="32"/>
      <c r="E199" s="3"/>
      <c r="F199" s="3"/>
      <c r="H199" s="6" t="s">
        <v>77</v>
      </c>
      <c r="I199" s="6"/>
      <c r="J199" s="6">
        <f>-C186</f>
        <v>-2000</v>
      </c>
    </row>
    <row r="200" spans="2:10" x14ac:dyDescent="0.3">
      <c r="B200" s="10" t="s">
        <v>76</v>
      </c>
      <c r="C200" s="3">
        <f>C174</f>
        <v>5000</v>
      </c>
      <c r="D200" s="32"/>
      <c r="E200" s="3"/>
      <c r="F200" s="3"/>
      <c r="H200" s="6" t="s">
        <v>78</v>
      </c>
      <c r="I200" s="6"/>
      <c r="J200" s="6">
        <f>-C181</f>
        <v>-40000</v>
      </c>
    </row>
    <row r="201" spans="2:10" x14ac:dyDescent="0.3">
      <c r="D201" s="32"/>
      <c r="E201" s="6"/>
      <c r="F201" s="26" t="s">
        <v>46</v>
      </c>
      <c r="H201" s="6" t="s">
        <v>51</v>
      </c>
      <c r="I201" s="6"/>
      <c r="J201" s="40">
        <f>SUM(J195:J200)</f>
        <v>602000</v>
      </c>
    </row>
    <row r="202" spans="2:10" x14ac:dyDescent="0.3">
      <c r="D202" s="32"/>
      <c r="E202" s="6" t="s">
        <v>34</v>
      </c>
      <c r="F202" s="3">
        <v>50000</v>
      </c>
    </row>
    <row r="203" spans="2:10" x14ac:dyDescent="0.3">
      <c r="B203" s="33"/>
      <c r="C203" s="3"/>
      <c r="D203" s="32"/>
      <c r="E203" s="6" t="s">
        <v>35</v>
      </c>
      <c r="F203" s="3">
        <v>150000</v>
      </c>
    </row>
    <row r="204" spans="2:10" x14ac:dyDescent="0.3">
      <c r="B204" s="10"/>
      <c r="C204" s="3"/>
      <c r="D204" s="32"/>
      <c r="E204" s="34" t="s">
        <v>47</v>
      </c>
      <c r="F204" s="35">
        <f>C206-F203-F202-F197-F196-F198</f>
        <v>1264000</v>
      </c>
    </row>
    <row r="205" spans="2:10" x14ac:dyDescent="0.3">
      <c r="B205" s="10"/>
      <c r="C205" s="3"/>
      <c r="D205" s="32"/>
      <c r="E205" s="6"/>
      <c r="F205" s="6"/>
    </row>
    <row r="206" spans="2:10" x14ac:dyDescent="0.3">
      <c r="B206" s="10"/>
      <c r="C206" s="36">
        <f>SUM(C196:C200)</f>
        <v>2014000</v>
      </c>
      <c r="D206" s="32"/>
      <c r="E206" s="6"/>
      <c r="F206" s="36">
        <f>SUM(F196:F198,F202:F204)</f>
        <v>2014000</v>
      </c>
    </row>
  </sheetData>
  <mergeCells count="48">
    <mergeCell ref="N167:O167"/>
    <mergeCell ref="E154:F154"/>
    <mergeCell ref="B194:F194"/>
    <mergeCell ref="B166:C166"/>
    <mergeCell ref="E166:F166"/>
    <mergeCell ref="H166:I166"/>
    <mergeCell ref="K166:L166"/>
    <mergeCell ref="N163:O163"/>
    <mergeCell ref="N149:O149"/>
    <mergeCell ref="B159:C159"/>
    <mergeCell ref="E159:F159"/>
    <mergeCell ref="H159:I159"/>
    <mergeCell ref="K159:L159"/>
    <mergeCell ref="N159:O159"/>
    <mergeCell ref="C135:E137"/>
    <mergeCell ref="K135:K137"/>
    <mergeCell ref="J135:J137"/>
    <mergeCell ref="J140:J141"/>
    <mergeCell ref="K140:K141"/>
    <mergeCell ref="B149:C149"/>
    <mergeCell ref="E149:F149"/>
    <mergeCell ref="H149:I149"/>
    <mergeCell ref="K149:L149"/>
    <mergeCell ref="N85:O85"/>
    <mergeCell ref="N94:O94"/>
    <mergeCell ref="K90:L90"/>
    <mergeCell ref="Q85:R85"/>
    <mergeCell ref="Q89:R89"/>
    <mergeCell ref="B117:F117"/>
    <mergeCell ref="B94:C94"/>
    <mergeCell ref="E85:F85"/>
    <mergeCell ref="E94:F94"/>
    <mergeCell ref="H85:I85"/>
    <mergeCell ref="H94:I94"/>
    <mergeCell ref="K94:L94"/>
    <mergeCell ref="K85:L85"/>
    <mergeCell ref="K31:L31"/>
    <mergeCell ref="K35:L35"/>
    <mergeCell ref="B36:C36"/>
    <mergeCell ref="B54:F54"/>
    <mergeCell ref="B85:C85"/>
    <mergeCell ref="G12:G15"/>
    <mergeCell ref="H12:H15"/>
    <mergeCell ref="B31:C31"/>
    <mergeCell ref="E31:F31"/>
    <mergeCell ref="E35:F35"/>
    <mergeCell ref="H31:I31"/>
    <mergeCell ref="H35:I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Noam Newman</dc:creator>
  <cp:lastModifiedBy>Noam Newman</cp:lastModifiedBy>
  <dcterms:created xsi:type="dcterms:W3CDTF">2015-06-05T18:17:20Z</dcterms:created>
  <dcterms:modified xsi:type="dcterms:W3CDTF">2026-05-10T15:52:17Z</dcterms:modified>
</cp:coreProperties>
</file>